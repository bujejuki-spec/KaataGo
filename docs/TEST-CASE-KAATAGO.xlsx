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Uji'!$A$1:$I$524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Uji'!C2:C524,"P1")</f>
        <v/>
      </c>
      <c r="C5" s="5">
        <f>COUNTIFS('Kasus Uji'!C2:C524,"P1",'Kasus Uji'!G2:G524,"Lulus")</f>
        <v/>
      </c>
      <c r="D5" s="5">
        <f>COUNTIFS('Kasus Uji'!C2:C524,"P1",'Kasus Uji'!G2:G524,"Gagal")</f>
        <v/>
      </c>
      <c r="E5" s="5">
        <f>COUNTIFS('Kasus Uji'!C2:C524,"P1",'Kasus Uji'!G2:G524,"Terblokir")</f>
        <v/>
      </c>
      <c r="F5" s="5">
        <f>COUNTIFS('Kasus Uji'!C2:C524,"P1",'Kasus Uji'!G2:G524,"Dilewati")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Uji'!C2:C524,"P2")</f>
        <v/>
      </c>
      <c r="C6" s="5">
        <f>COUNTIFS('Kasus Uji'!C2:C524,"P2",'Kasus Uji'!G2:G524,"Lulus")</f>
        <v/>
      </c>
      <c r="D6" s="5">
        <f>COUNTIFS('Kasus Uji'!C2:C524,"P2",'Kasus Uji'!G2:G524,"Gagal")</f>
        <v/>
      </c>
      <c r="E6" s="5">
        <f>COUNTIFS('Kasus Uji'!C2:C524,"P2",'Kasus Uji'!G2:G524,"Terblokir")</f>
        <v/>
      </c>
      <c r="F6" s="5">
        <f>COUNTIFS('Kasus Uji'!C2:C524,"P2",'Kasus Uji'!G2:G524,"Dilewati")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Uji'!C2:C524,"P3")</f>
        <v/>
      </c>
      <c r="C7" s="5">
        <f>COUNTIFS('Kasus Uji'!C2:C524,"P3",'Kasus Uji'!G2:G524,"Lulus")</f>
        <v/>
      </c>
      <c r="D7" s="5">
        <f>COUNTIFS('Kasus Uji'!C2:C524,"P3",'Kasus Uji'!G2:G524,"Gagal")</f>
        <v/>
      </c>
      <c r="E7" s="5">
        <f>COUNTIFS('Kasus Uji'!C2:C524,"P3",'Kasus Uji'!G2:G524,"Terblokir")</f>
        <v/>
      </c>
      <c r="F7" s="5">
        <f>COUNTIFS('Kasus Uji'!C2:C524,"P3",'Kasus Uji'!G2:G524,"Dilewati")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Uji'!A2:A524,"Pelanggan")</f>
        <v/>
      </c>
      <c r="C12" s="5">
        <f>COUNTIFS('Kasus Uji'!A2:A524,"Pelanggan",'Kasus Uji'!G2:G524,"Lulus")</f>
        <v/>
      </c>
      <c r="D12" s="5">
        <f>COUNTIFS('Kasus Uji'!A2:A524,"Pelanggan",'Kasus Uji'!G2:G524,"Gagal")</f>
        <v/>
      </c>
      <c r="E12" s="5">
        <f>COUNTIFS('Kasus Uji'!A2:A524,"Pelanggan",'Kasus Uji'!G2:G524,"Terblokir")</f>
        <v/>
      </c>
      <c r="F12" s="5">
        <f>COUNTIFS('Kasus Uji'!A2:A524,"Pelanggan",'Kasus Uji'!G2:G524,"Dilewati")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Uji'!A2:A524,"Kasir")</f>
        <v/>
      </c>
      <c r="C13" s="5">
        <f>COUNTIFS('Kasus Uji'!A2:A524,"Kasir",'Kasus Uji'!G2:G524,"Lulus")</f>
        <v/>
      </c>
      <c r="D13" s="5">
        <f>COUNTIFS('Kasus Uji'!A2:A524,"Kasir",'Kasus Uji'!G2:G524,"Gagal")</f>
        <v/>
      </c>
      <c r="E13" s="5">
        <f>COUNTIFS('Kasus Uji'!A2:A524,"Kasir",'Kasus Uji'!G2:G524,"Terblokir")</f>
        <v/>
      </c>
      <c r="F13" s="5">
        <f>COUNTIFS('Kasus Uji'!A2:A524,"Kasir",'Kasus Uji'!G2:G524,"Dilewati")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Uji'!A2:A524,"Pending Payment")</f>
        <v/>
      </c>
      <c r="C14" s="5">
        <f>COUNTIFS('Kasus Uji'!A2:A524,"Pending Payment",'Kasus Uji'!G2:G524,"Lulus")</f>
        <v/>
      </c>
      <c r="D14" s="5">
        <f>COUNTIFS('Kasus Uji'!A2:A524,"Pending Payment",'Kasus Uji'!G2:G524,"Gagal")</f>
        <v/>
      </c>
      <c r="E14" s="5">
        <f>COUNTIFS('Kasus Uji'!A2:A524,"Pending Payment",'Kasus Uji'!G2:G524,"Terblokir")</f>
        <v/>
      </c>
      <c r="F14" s="5">
        <f>COUNTIFS('Kasus Uji'!A2:A524,"Pending Payment",'Kasus Uji'!G2:G524,"Dilewati")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Uji'!A2:A524,"Dapur")</f>
        <v/>
      </c>
      <c r="C15" s="5">
        <f>COUNTIFS('Kasus Uji'!A2:A524,"Dapur",'Kasus Uji'!G2:G524,"Lulus")</f>
        <v/>
      </c>
      <c r="D15" s="5">
        <f>COUNTIFS('Kasus Uji'!A2:A524,"Dapur",'Kasus Uji'!G2:G524,"Gagal")</f>
        <v/>
      </c>
      <c r="E15" s="5">
        <f>COUNTIFS('Kasus Uji'!A2:A524,"Dapur",'Kasus Uji'!G2:G524,"Terblokir")</f>
        <v/>
      </c>
      <c r="F15" s="5">
        <f>COUNTIFS('Kasus Uji'!A2:A524,"Dapur",'Kasus Uji'!G2:G524,"Dilewati")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Uji'!A2:A524,"Keuangan")</f>
        <v/>
      </c>
      <c r="C16" s="5">
        <f>COUNTIFS('Kasus Uji'!A2:A524,"Keuangan",'Kasus Uji'!G2:G524,"Lulus")</f>
        <v/>
      </c>
      <c r="D16" s="5">
        <f>COUNTIFS('Kasus Uji'!A2:A524,"Keuangan",'Kasus Uji'!G2:G524,"Gagal")</f>
        <v/>
      </c>
      <c r="E16" s="5">
        <f>COUNTIFS('Kasus Uji'!A2:A524,"Keuangan",'Kasus Uji'!G2:G524,"Terblokir")</f>
        <v/>
      </c>
      <c r="F16" s="5">
        <f>COUNTIFS('Kasus Uji'!A2:A524,"Keuangan",'Kasus Uji'!G2:G524,"Dilewati")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Uji'!A2:A524,"Setor Saldo Cash")</f>
        <v/>
      </c>
      <c r="C17" s="5">
        <f>COUNTIFS('Kasus Uji'!A2:A524,"Setor Saldo Cash",'Kasus Uji'!G2:G524,"Lulus")</f>
        <v/>
      </c>
      <c r="D17" s="5">
        <f>COUNTIFS('Kasus Uji'!A2:A524,"Setor Saldo Cash",'Kasus Uji'!G2:G524,"Gagal")</f>
        <v/>
      </c>
      <c r="E17" s="5">
        <f>COUNTIFS('Kasus Uji'!A2:A524,"Setor Saldo Cash",'Kasus Uji'!G2:G524,"Terblokir")</f>
        <v/>
      </c>
      <c r="F17" s="5">
        <f>COUNTIFS('Kasus Uji'!A2:A524,"Setor Saldo Cash",'Kasus Uji'!G2:G524,"Dilewati")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Uji'!A2:A524,"Katalog &amp; Pengaturan")</f>
        <v/>
      </c>
      <c r="C18" s="5">
        <f>COUNTIFS('Kasus Uji'!A2:A524,"Katalog &amp; Pengaturan",'Kasus Uji'!G2:G524,"Lulus")</f>
        <v/>
      </c>
      <c r="D18" s="5">
        <f>COUNTIFS('Kasus Uji'!A2:A524,"Katalog &amp; Pengaturan",'Kasus Uji'!G2:G524,"Gagal")</f>
        <v/>
      </c>
      <c r="E18" s="5">
        <f>COUNTIFS('Kasus Uji'!A2:A524,"Katalog &amp; Pengaturan",'Kasus Uji'!G2:G524,"Terblokir")</f>
        <v/>
      </c>
      <c r="F18" s="5">
        <f>COUNTIFS('Kasus Uji'!A2:A524,"Katalog &amp; Pengaturan",'Kasus Uji'!G2:G524,"Dilewati")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Uji'!A2:A524,"QR Meja")</f>
        <v/>
      </c>
      <c r="C19" s="5">
        <f>COUNTIFS('Kasus Uji'!A2:A524,"QR Meja",'Kasus Uji'!G2:G524,"Lulus")</f>
        <v/>
      </c>
      <c r="D19" s="5">
        <f>COUNTIFS('Kasus Uji'!A2:A524,"QR Meja",'Kasus Uji'!G2:G524,"Gagal")</f>
        <v/>
      </c>
      <c r="E19" s="5">
        <f>COUNTIFS('Kasus Uji'!A2:A524,"QR Meja",'Kasus Uji'!G2:G524,"Terblokir")</f>
        <v/>
      </c>
      <c r="F19" s="5">
        <f>COUNTIFS('Kasus Uji'!A2:A524,"QR Meja",'Kasus Uji'!G2:G524,"Dilewati")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Uji'!A2:A524,"Diskon")</f>
        <v/>
      </c>
      <c r="C20" s="5">
        <f>COUNTIFS('Kasus Uji'!A2:A524,"Diskon",'Kasus Uji'!G2:G524,"Lulus")</f>
        <v/>
      </c>
      <c r="D20" s="5">
        <f>COUNTIFS('Kasus Uji'!A2:A524,"Diskon",'Kasus Uji'!G2:G524,"Gagal")</f>
        <v/>
      </c>
      <c r="E20" s="5">
        <f>COUNTIFS('Kasus Uji'!A2:A524,"Diskon",'Kasus Uji'!G2:G524,"Terblokir")</f>
        <v/>
      </c>
      <c r="F20" s="5">
        <f>COUNTIFS('Kasus Uji'!A2:A524,"Diskon",'Kasus Uji'!G2:G524,"Dilewati")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Uji'!A2:A524,"Kotak Masuk &amp; Pengumuman")</f>
        <v/>
      </c>
      <c r="C21" s="5">
        <f>COUNTIFS('Kasus Uji'!A2:A524,"Kotak Masuk &amp; Pengumuman",'Kasus Uji'!G2:G524,"Lulus")</f>
        <v/>
      </c>
      <c r="D21" s="5">
        <f>COUNTIFS('Kasus Uji'!A2:A524,"Kotak Masuk &amp; Pengumuman",'Kasus Uji'!G2:G524,"Gagal")</f>
        <v/>
      </c>
      <c r="E21" s="5">
        <f>COUNTIFS('Kasus Uji'!A2:A524,"Kotak Masuk &amp; Pengumuman",'Kasus Uji'!G2:G524,"Terblokir")</f>
        <v/>
      </c>
      <c r="F21" s="5">
        <f>COUNTIFS('Kasus Uji'!A2:A524,"Kotak Masuk &amp; Pengumuman",'Kasus Uji'!G2:G524,"Dilewati")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Uji'!A2:A524,"Pembayaran QRIS")</f>
        <v/>
      </c>
      <c r="C22" s="5">
        <f>COUNTIFS('Kasus Uji'!A2:A524,"Pembayaran QRIS",'Kasus Uji'!G2:G524,"Lulus")</f>
        <v/>
      </c>
      <c r="D22" s="5">
        <f>COUNTIFS('Kasus Uji'!A2:A524,"Pembayaran QRIS",'Kasus Uji'!G2:G524,"Gagal")</f>
        <v/>
      </c>
      <c r="E22" s="5">
        <f>COUNTIFS('Kasus Uji'!A2:A524,"Pembayaran QRIS",'Kasus Uji'!G2:G524,"Terblokir")</f>
        <v/>
      </c>
      <c r="F22" s="5">
        <f>COUNTIFS('Kasus Uji'!A2:A524,"Pembayaran QRIS",'Kasus Uji'!G2:G524,"Dilewati")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Uji'!A2:A524,"Pembatalan &amp; Kedaluwarsa")</f>
        <v/>
      </c>
      <c r="C23" s="5">
        <f>COUNTIFS('Kasus Uji'!A2:A524,"Pembatalan &amp; Kedaluwarsa",'Kasus Uji'!G2:G524,"Lulus")</f>
        <v/>
      </c>
      <c r="D23" s="5">
        <f>COUNTIFS('Kasus Uji'!A2:A524,"Pembatalan &amp; Kedaluwarsa",'Kasus Uji'!G2:G524,"Gagal")</f>
        <v/>
      </c>
      <c r="E23" s="5">
        <f>COUNTIFS('Kasus Uji'!A2:A524,"Pembatalan &amp; Kedaluwarsa",'Kasus Uji'!G2:G524,"Terblokir")</f>
        <v/>
      </c>
      <c r="F23" s="5">
        <f>COUNTIFS('Kasus Uji'!A2:A524,"Pembatalan &amp; Kedaluwarsa",'Kasus Uji'!G2:G524,"Dilewati")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Uji'!A2:A524,"Sesi Meja &amp; Identitas")</f>
        <v/>
      </c>
      <c r="C24" s="5">
        <f>COUNTIFS('Kasus Uji'!A2:A524,"Sesi Meja &amp; Identitas",'Kasus Uji'!G2:G524,"Lulus")</f>
        <v/>
      </c>
      <c r="D24" s="5">
        <f>COUNTIFS('Kasus Uji'!A2:A524,"Sesi Meja &amp; Identitas",'Kasus Uji'!G2:G524,"Gagal")</f>
        <v/>
      </c>
      <c r="E24" s="5">
        <f>COUNTIFS('Kasus Uji'!A2:A524,"Sesi Meja &amp; Identitas",'Kasus Uji'!G2:G524,"Terblokir")</f>
        <v/>
      </c>
      <c r="F24" s="5">
        <f>COUNTIFS('Kasus Uji'!A2:A524,"Sesi Meja &amp; Identitas",'Kasus Uji'!G2:G524,"Dilewati")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Uji'!A2:A524,"Tampilan")</f>
        <v/>
      </c>
      <c r="C25" s="5">
        <f>COUNTIFS('Kasus Uji'!A2:A524,"Tampilan",'Kasus Uji'!G2:G524,"Lulus")</f>
        <v/>
      </c>
      <c r="D25" s="5">
        <f>COUNTIFS('Kasus Uji'!A2:A524,"Tampilan",'Kasus Uji'!G2:G524,"Gagal")</f>
        <v/>
      </c>
      <c r="E25" s="5">
        <f>COUNTIFS('Kasus Uji'!A2:A524,"Tampilan",'Kasus Uji'!G2:G524,"Terblokir")</f>
        <v/>
      </c>
      <c r="F25" s="5">
        <f>COUNTIFS('Kasus Uji'!A2:A524,"Tampilan",'Kasus Uji'!G2:G524,"Dilewati")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Uji'!A2:A524,"Super Admin")</f>
        <v/>
      </c>
      <c r="C26" s="5">
        <f>COUNTIFS('Kasus Uji'!A2:A524,"Super Admin",'Kasus Uji'!G2:G524,"Lulus")</f>
        <v/>
      </c>
      <c r="D26" s="5">
        <f>COUNTIFS('Kasus Uji'!A2:A524,"Super Admin",'Kasus Uji'!G2:G524,"Gagal")</f>
        <v/>
      </c>
      <c r="E26" s="5">
        <f>COUNTIFS('Kasus Uji'!A2:A524,"Super Admin",'Kasus Uji'!G2:G524,"Terblokir")</f>
        <v/>
      </c>
      <c r="F26" s="5">
        <f>COUNTIFS('Kasus Uji'!A2:A524,"Super Admin",'Kasus Uji'!G2:G524,"Dilewati")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Uji'!A2:A524,"Pembaruan Aplikasi")</f>
        <v/>
      </c>
      <c r="C27" s="5">
        <f>COUNTIFS('Kasus Uji'!A2:A524,"Pembaruan Aplikasi",'Kasus Uji'!G2:G524,"Lulus")</f>
        <v/>
      </c>
      <c r="D27" s="5">
        <f>COUNTIFS('Kasus Uji'!A2:A524,"Pembaruan Aplikasi",'Kasus Uji'!G2:G524,"Gagal")</f>
        <v/>
      </c>
      <c r="E27" s="5">
        <f>COUNTIFS('Kasus Uji'!A2:A524,"Pembaruan Aplikasi",'Kasus Uji'!G2:G524,"Terblokir")</f>
        <v/>
      </c>
      <c r="F27" s="5">
        <f>COUNTIFS('Kasus Uji'!A2:A524,"Pembaruan Aplikasi",'Kasus Uji'!G2:G524,"Dilewati")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Uji'!A2:A524,"## 19b. Langganan &amp; Tagihan Resto")</f>
        <v/>
      </c>
      <c r="C28" s="5">
        <f>COUNTIFS('Kasus Uji'!A2:A524,"## 19b. Langganan &amp; Tagihan Resto",'Kasus Uji'!G2:G524,"Lulus")</f>
        <v/>
      </c>
      <c r="D28" s="5">
        <f>COUNTIFS('Kasus Uji'!A2:A524,"## 19b. Langganan &amp; Tagihan Resto",'Kasus Uji'!G2:G524,"Gagal")</f>
        <v/>
      </c>
      <c r="E28" s="5">
        <f>COUNTIFS('Kasus Uji'!A2:A524,"## 19b. Langganan &amp; Tagihan Resto",'Kasus Uji'!G2:G524,"Terblokir")</f>
        <v/>
      </c>
      <c r="F28" s="5">
        <f>COUNTIFS('Kasus Uji'!A2:A524,"## 19b. Langganan &amp; Tagihan Resto",'Kasus Uji'!G2:G524,"Dilewati")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Uji'!A2:A524,"## 19c. Finance KaataGo (Super Admin)")</f>
        <v/>
      </c>
      <c r="C29" s="5">
        <f>COUNTIFS('Kasus Uji'!A2:A524,"## 19c. Finance KaataGo (Super Admin)",'Kasus Uji'!G2:G524,"Lulus")</f>
        <v/>
      </c>
      <c r="D29" s="5">
        <f>COUNTIFS('Kasus Uji'!A2:A524,"## 19c. Finance KaataGo (Super Admin)",'Kasus Uji'!G2:G524,"Gagal")</f>
        <v/>
      </c>
      <c r="E29" s="5">
        <f>COUNTIFS('Kasus Uji'!A2:A524,"## 19c. Finance KaataGo (Super Admin)",'Kasus Uji'!G2:G524,"Terblokir")</f>
        <v/>
      </c>
      <c r="F29" s="5">
        <f>COUNTIFS('Kasus Uji'!A2:A524,"## 19c. Finance KaataGo (Super Admin)",'Kasus Uji'!G2:G524,"Dilewati")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Uji'!A2:A524,"## 19d. Voucher Pelanggan")</f>
        <v/>
      </c>
      <c r="C30" s="5">
        <f>COUNTIFS('Kasus Uji'!A2:A524,"## 19d. Voucher Pelanggan",'Kasus Uji'!G2:G524,"Lulus")</f>
        <v/>
      </c>
      <c r="D30" s="5">
        <f>COUNTIFS('Kasus Uji'!A2:A524,"## 19d. Voucher Pelanggan",'Kasus Uji'!G2:G524,"Gagal")</f>
        <v/>
      </c>
      <c r="E30" s="5">
        <f>COUNTIFS('Kasus Uji'!A2:A524,"## 19d. Voucher Pelanggan",'Kasus Uji'!G2:G524,"Terblokir")</f>
        <v/>
      </c>
      <c r="F30" s="5">
        <f>COUNTIFS('Kasus Uji'!A2:A524,"## 19d. Voucher Pelanggan",'Kasus Uji'!G2:G524,"Dilewati")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Uji'!A2:A524,"## 19e. Analisa Pasar")</f>
        <v/>
      </c>
      <c r="C31" s="5">
        <f>COUNTIFS('Kasus Uji'!A2:A524,"## 19e. Analisa Pasar",'Kasus Uji'!G2:G524,"Lulus")</f>
        <v/>
      </c>
      <c r="D31" s="5">
        <f>COUNTIFS('Kasus Uji'!A2:A524,"## 19e. Analisa Pasar",'Kasus Uji'!G2:G524,"Gagal")</f>
        <v/>
      </c>
      <c r="E31" s="5">
        <f>COUNTIFS('Kasus Uji'!A2:A524,"## 19e. Analisa Pasar",'Kasus Uji'!G2:G524,"Terblokir")</f>
        <v/>
      </c>
      <c r="F31" s="5">
        <f>COUNTIFS('Kasus Uji'!A2:A524,"## 19e. Analisa Pasar",'Kasus Uji'!G2:G524,"Dilewati")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Uji'!A2:A524,"Uji Teknis (lingkup TSD)")</f>
        <v/>
      </c>
      <c r="C32" s="5">
        <f>COUNTIFS('Kasus Uji'!A2:A524,"Uji Teknis (lingkup TSD)",'Kasus Uji'!G2:G524,"Lulus")</f>
        <v/>
      </c>
      <c r="D32" s="5">
        <f>COUNTIFS('Kasus Uji'!A2:A524,"Uji Teknis (lingkup TSD)",'Kasus Uji'!G2:G524,"Gagal")</f>
        <v/>
      </c>
      <c r="E32" s="5">
        <f>COUNTIFS('Kasus Uji'!A2:A524,"Uji Teknis (lingkup TSD)",'Kasus Uji'!G2:G524,"Terblokir")</f>
        <v/>
      </c>
      <c r="F32" s="5">
        <f>COUNTIFS('Kasus Uji'!A2:A524,"Uji Teknis (lingkup TSD)",'Kasus Uji'!G2:G524,"Dilewati")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Uji'!A2:A524,"Regresi — bug yang pernah terjadi")</f>
        <v/>
      </c>
      <c r="C33" s="5">
        <f>COUNTIFS('Kasus Uji'!A2:A524,"Regresi — bug yang pernah terjadi",'Kasus Uji'!G2:G524,"Lulus")</f>
        <v/>
      </c>
      <c r="D33" s="5">
        <f>COUNTIFS('Kasus Uji'!A2:A524,"Regresi — bug yang pernah terjadi",'Kasus Uji'!G2:G524,"Gagal")</f>
        <v/>
      </c>
      <c r="E33" s="5">
        <f>COUNTIFS('Kasus Uji'!A2:A524,"Regresi — bug yang pernah terjadi",'Kasus Uji'!G2:G524,"Terblokir")</f>
        <v/>
      </c>
      <c r="F33" s="5">
        <f>COUNTIFS('Kasus Uji'!A2:A524,"Regresi — bug yang pernah terjadi",'Kasus Uji'!G2:G524,"Dilewati")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Uji'!A2:A524,"Uji Ujung-ke-Ujung")</f>
        <v/>
      </c>
      <c r="C34" s="5">
        <f>COUNTIFS('Kasus Uji'!A2:A524,"Uji Ujung-ke-Ujung",'Kasus Uji'!G2:G524,"Lulus")</f>
        <v/>
      </c>
      <c r="D34" s="5">
        <f>COUNTIFS('Kasus Uji'!A2:A524,"Uji Ujung-ke-Ujung",'Kasus Uji'!G2:G524,"Gagal")</f>
        <v/>
      </c>
      <c r="E34" s="5">
        <f>COUNTIFS('Kasus Uji'!A2:A524,"Uji Ujung-ke-Ujung",'Kasus Uji'!G2:G524,"Terblokir")</f>
        <v/>
      </c>
      <c r="F34" s="5">
        <f>COUNTIFS('Kasus Uji'!A2:A524,"Uji Ujung-ke-Ujung",'Kasus Uji'!G2:G524,"Dilewati")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Kotak Masuk &amp; Pengumuman</t>
        </is>
      </c>
      <c r="B175" s="17" t="inlineStr">
        <is>
          <t>TC-IN-15</t>
        </is>
      </c>
      <c r="C175" s="18" t="inlineStr">
        <is>
          <t>P1</t>
        </is>
      </c>
      <c r="D175" s="16" t="inlineStr">
        <is>
          <t>Masuk sebagai Super Admin, terbitkan rilis baru</t>
        </is>
      </c>
      <c r="E175" s="16" t="inlineStr">
        <is>
          <t>Notifikasinya sampai ke HP Super Admin</t>
        </is>
      </c>
      <c r="F175" s="16" t="inlineStr">
        <is>
          <t>F-IN-10</t>
        </is>
      </c>
      <c r="G175" s="16" t="inlineStr"/>
      <c r="H175" s="16" t="inlineStr"/>
      <c r="I175" s="16" t="inlineStr"/>
    </row>
    <row r="176">
      <c r="A176" s="13" t="inlineStr">
        <is>
          <t>Kotak Masuk &amp; Pengumuman</t>
        </is>
      </c>
      <c r="B176" s="14" t="inlineStr">
        <is>
          <t>TC-IN-16</t>
        </is>
      </c>
      <c r="C176" s="15" t="inlineStr">
        <is>
          <t>P1</t>
        </is>
      </c>
      <c r="D176" s="13" t="inlineStr">
        <is>
          <t>Owner multi-cabang sebelum memilih cabang</t>
        </is>
      </c>
      <c r="E176" s="13" t="inlineStr">
        <is>
          <t>Tetap menerima push</t>
        </is>
      </c>
      <c r="F176" s="13" t="inlineStr">
        <is>
          <t>F-IN-10</t>
        </is>
      </c>
      <c r="G176" s="13" t="inlineStr"/>
      <c r="H176" s="13" t="inlineStr"/>
      <c r="I176" s="13" t="inlineStr"/>
    </row>
    <row r="177">
      <c r="A177" s="16" t="inlineStr">
        <is>
          <t>Kotak Masuk &amp; Pengumuman</t>
        </is>
      </c>
      <c r="B177" s="17" t="inlineStr">
        <is>
          <t>TC-IN-17</t>
        </is>
      </c>
      <c r="C177" s="18" t="inlineStr">
        <is>
          <t>P1</t>
        </is>
      </c>
      <c r="D177" s="16" t="inlineStr">
        <is>
          <t>Pelanggan login, belum buka resto, terbitkan voucher</t>
        </is>
      </c>
      <c r="E177" s="16" t="inlineStr">
        <is>
          <t>Notifikasi vouchernya sampai</t>
        </is>
      </c>
      <c r="F177" s="16" t="inlineStr">
        <is>
          <t>F-IN-11</t>
        </is>
      </c>
      <c r="G177" s="16" t="inlineStr"/>
      <c r="H177" s="16" t="inlineStr"/>
      <c r="I177" s="16" t="inlineStr"/>
    </row>
    <row r="178">
      <c r="A178" s="13" t="inlineStr">
        <is>
          <t>Kotak Masuk &amp; Pengumuman</t>
        </is>
      </c>
      <c r="B178" s="14" t="inlineStr">
        <is>
          <t>TC-IN-18</t>
        </is>
      </c>
      <c r="C178" s="15" t="inlineStr">
        <is>
          <t>P1</t>
        </is>
      </c>
      <c r="D178" s="13" t="inlineStr">
        <is>
          <t>Terbitkan voucher, periksa HP kasir dan chef</t>
        </is>
      </c>
      <c r="E178" s="13" t="inlineStr">
        <is>
          <t>Tidak menerima — sasarannya pelanggan</t>
        </is>
      </c>
      <c r="F178" s="13" t="inlineStr">
        <is>
          <t>F-IN-12</t>
        </is>
      </c>
      <c r="G178" s="13" t="inlineStr"/>
      <c r="H178" s="13" t="inlineStr"/>
      <c r="I178" s="13" t="inlineStr"/>
    </row>
    <row r="179">
      <c r="A179" s="16" t="inlineStr">
        <is>
          <t>Kotak Masuk &amp; Pengumuman</t>
        </is>
      </c>
      <c r="B179" s="17" t="inlineStr">
        <is>
          <t>TC-IN-19</t>
        </is>
      </c>
      <c r="C179" s="18" t="inlineStr">
        <is>
          <t>P1</t>
        </is>
      </c>
      <c r="D179" s="16" t="inlineStr">
        <is>
          <t>Pengumuman resto khusus karyawan</t>
        </is>
      </c>
      <c r="E179" s="16" t="inlineStr">
        <is>
          <t>Tidak sampai ke pelanggan resto itu</t>
        </is>
      </c>
      <c r="F179" s="16" t="inlineStr">
        <is>
          <t>F-IN-12</t>
        </is>
      </c>
      <c r="G179" s="16" t="inlineStr"/>
      <c r="H179" s="16" t="inlineStr"/>
      <c r="I179" s="16" t="inlineStr"/>
    </row>
    <row r="180">
      <c r="A180" s="13" t="inlineStr">
        <is>
          <t>Kotak Masuk &amp; Pengumuman</t>
        </is>
      </c>
      <c r="B180" s="14" t="inlineStr">
        <is>
          <t>TC-IN-20</t>
        </is>
      </c>
      <c r="C180" s="19" t="inlineStr">
        <is>
          <t>P2</t>
        </is>
      </c>
      <c r="D180" s="13" t="inlineStr">
        <is>
          <t>Tamu tanpa resto aktif</t>
        </is>
      </c>
      <c r="E180" s="13" t="inlineStr">
        <is>
          <t>Tidak menerima — memang tidak ada penandanya</t>
        </is>
      </c>
      <c r="F180" s="13" t="inlineStr">
        <is>
          <t>F-IN-11</t>
        </is>
      </c>
      <c r="G180" s="13" t="inlineStr"/>
      <c r="H180" s="13" t="inlineStr"/>
      <c r="I180" s="13" t="inlineStr"/>
    </row>
    <row r="181">
      <c r="A181" s="16" t="inlineStr">
        <is>
          <t>Kotak Masuk &amp; Pengumuman</t>
        </is>
      </c>
      <c r="B181" s="17" t="inlineStr">
        <is>
          <t>TC-IN-21</t>
        </is>
      </c>
      <c r="C181" s="20" t="inlineStr">
        <is>
          <t>P2</t>
        </is>
      </c>
      <c r="D181" s="16" t="inlineStr">
        <is>
          <t>Periksa device_tokens sesudah Super Admin membuka aplikasi</t>
        </is>
      </c>
      <c r="E181" s="16" t="inlineStr">
        <is>
          <t>Ada barisnya dengan resto_id kosong</t>
        </is>
      </c>
      <c r="F181" s="16" t="inlineStr">
        <is>
          <t>F-IN-10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TC-PG-01</t>
        </is>
      </c>
      <c r="C182" s="15" t="inlineStr">
        <is>
          <t>P1</t>
        </is>
      </c>
      <c r="D182" s="13" t="inlineStr">
        <is>
          <t>Pesan dan pilih QRIS pada resto yang sub-akunnya aktif</t>
        </is>
      </c>
      <c r="E182" s="13" t="inlineStr">
        <is>
          <t>QR-nya dari penyedia pembayaran sungguhan, bisa dipindai aplikasi bank</t>
        </is>
      </c>
      <c r="F182" s="13" t="inlineStr">
        <is>
          <t>F-PG-01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TC-PG-02</t>
        </is>
      </c>
      <c r="C183" s="18" t="inlineStr">
        <is>
          <t>P1</t>
        </is>
      </c>
      <c r="D183" s="16" t="inlineStr">
        <is>
          <t>Bandingkan nominal di layar QRIS dengan total tagihan</t>
        </is>
      </c>
      <c r="E183" s="16" t="inlineStr">
        <is>
          <t>Sama persis, sudah termasuk service dan PPN, sudah dikurangi diskon</t>
        </is>
      </c>
      <c r="F183" s="16" t="inlineStr">
        <is>
          <t>F-PG-01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TC-PG-03</t>
        </is>
      </c>
      <c r="C184" s="15" t="inlineStr">
        <is>
          <t>P1</t>
        </is>
      </c>
      <c r="D184" s="13" t="inlineStr">
        <is>
          <t>Bayar sungguhan lewat aplikasi bank</t>
        </is>
      </c>
      <c r="E184" s="13" t="inlineStr">
        <is>
          <t>Layar berpindah sendiri ke Pembayaran Berhasil, tanpa ada yang menekan apa pun</t>
        </is>
      </c>
      <c r="F184" s="13" t="inlineStr">
        <is>
          <t>F-PG-02</t>
        </is>
      </c>
      <c r="G184" s="13" t="inlineStr"/>
      <c r="H184" s="13" t="inlineStr"/>
      <c r="I184" s="13" t="inlineStr"/>
    </row>
    <row r="185">
      <c r="A185" s="16" t="inlineStr">
        <is>
          <t>Pembayaran QRIS</t>
        </is>
      </c>
      <c r="B185" s="17" t="inlineStr">
        <is>
          <t>TC-PG-04</t>
        </is>
      </c>
      <c r="C185" s="18" t="inlineStr">
        <is>
          <t>P1</t>
        </is>
      </c>
      <c r="D185" s="16" t="inlineStr">
        <is>
          <t>Periksa layar kasir pada resto dengan penyedia aktif</t>
        </is>
      </c>
      <c r="E185" s="16" t="inlineStr">
        <is>
          <t>Tombol konfirmasi manual tidak ada</t>
        </is>
      </c>
      <c r="F185" s="16" t="inlineStr">
        <is>
          <t>F-PG-07</t>
        </is>
      </c>
      <c r="G185" s="16" t="inlineStr"/>
      <c r="H185" s="16" t="inlineStr"/>
      <c r="I185" s="16" t="inlineStr"/>
    </row>
    <row r="186">
      <c r="A186" s="13" t="inlineStr">
        <is>
          <t>Pembayaran QRIS</t>
        </is>
      </c>
      <c r="B186" s="14" t="inlineStr">
        <is>
          <t>TC-PG-05</t>
        </is>
      </c>
      <c r="C186" s="19" t="inlineStr">
        <is>
          <t>P2</t>
        </is>
      </c>
      <c r="D186" s="13" t="inlineStr">
        <is>
          <t>Resto yang belum punya sub-akun</t>
        </is>
      </c>
      <c r="E186" s="13" t="inlineStr">
        <is>
          <t>QR simulasi tampil berikut tombol konfirmasi manual</t>
        </is>
      </c>
      <c r="F186" s="13" t="inlineStr">
        <is>
          <t>F-PG-06</t>
        </is>
      </c>
      <c r="G186" s="13" t="inlineStr"/>
      <c r="H186" s="13" t="inlineStr"/>
      <c r="I186" s="13" t="inlineStr"/>
    </row>
    <row r="187">
      <c r="A187" s="16" t="inlineStr">
        <is>
          <t>Pembayaran QRIS</t>
        </is>
      </c>
      <c r="B187" s="17" t="inlineStr">
        <is>
          <t>TC-PG-06</t>
        </is>
      </c>
      <c r="C187" s="20" t="inlineStr">
        <is>
          <t>P2</t>
        </is>
      </c>
      <c r="D187" s="16" t="inlineStr">
        <is>
          <t>Perhatikan hitungan mundur di layar QRIS</t>
        </is>
      </c>
      <c r="E187" s="16" t="inlineStr">
        <is>
          <t>Berjalan; QR kedaluwarsa saat habis</t>
        </is>
      </c>
      <c r="F187" s="16" t="inlineStr">
        <is>
          <t>F-PG-05</t>
        </is>
      </c>
      <c r="G187" s="16" t="inlineStr"/>
      <c r="H187" s="16" t="inlineStr"/>
      <c r="I187" s="16" t="inlineStr"/>
    </row>
    <row r="188">
      <c r="A188" s="13" t="inlineStr">
        <is>
          <t>Pembayaran QRIS</t>
        </is>
      </c>
      <c r="B188" s="14" t="inlineStr">
        <is>
          <t>TC-PG-07</t>
        </is>
      </c>
      <c r="C188" s="15" t="inlineStr">
        <is>
          <t>P1</t>
        </is>
      </c>
      <c r="D188" s="13" t="inlineStr">
        <is>
          <t>Dua resto berbeda menerima pembayaran QRIS</t>
        </is>
      </c>
      <c r="E188" s="13" t="inlineStr">
        <is>
          <t>Dananya masuk ke rekening masing-masing</t>
        </is>
      </c>
      <c r="F188" s="13" t="inlineStr">
        <is>
          <t>F-PG-03</t>
        </is>
      </c>
      <c r="G188" s="13" t="inlineStr"/>
      <c r="H188" s="13" t="inlineStr"/>
      <c r="I188" s="13" t="inlineStr"/>
    </row>
    <row r="189">
      <c r="A189" s="16" t="inlineStr">
        <is>
          <t>Pembayaran QRIS</t>
        </is>
      </c>
      <c r="B189" s="17" t="inlineStr">
        <is>
          <t>TC-PG-08</t>
        </is>
      </c>
      <c r="C189" s="18" t="inlineStr">
        <is>
          <t>P1</t>
        </is>
      </c>
      <c r="D189" s="16" t="inlineStr">
        <is>
          <t>Buka Info Pembayaran sebagai Finance dan Owner</t>
        </is>
      </c>
      <c r="E189" s="16" t="inlineStr">
        <is>
          <t>Pengenal sub-akun tidak terlihat</t>
        </is>
      </c>
      <c r="F189" s="16" t="inlineStr">
        <is>
          <t>F-PG-04</t>
        </is>
      </c>
      <c r="G189" s="16" t="inlineStr"/>
      <c r="H189" s="16" t="inlineStr"/>
      <c r="I189" s="16" t="inlineStr"/>
    </row>
    <row r="190">
      <c r="A190" s="13" t="inlineStr">
        <is>
          <t>Pembayaran QRIS</t>
        </is>
      </c>
      <c r="B190" s="14" t="inlineStr">
        <is>
          <t>TC-PG-09</t>
        </is>
      </c>
      <c r="C190" s="15" t="inlineStr">
        <is>
          <t>P1</t>
        </is>
      </c>
      <c r="D190" s="13" t="inlineStr">
        <is>
          <t>Buka layar resto sebagai Super Admin</t>
        </is>
      </c>
      <c r="E190" s="13" t="inlineStr">
        <is>
          <t>Pengenal sub-akun terlihat dan bisa diubah</t>
        </is>
      </c>
      <c r="F190" s="13" t="inlineStr">
        <is>
          <t>F-PG-04, F-SA-05</t>
        </is>
      </c>
      <c r="G190" s="13" t="inlineStr"/>
      <c r="H190" s="13" t="inlineStr"/>
      <c r="I190" s="13" t="inlineStr"/>
    </row>
    <row r="191">
      <c r="A191" s="16" t="inlineStr">
        <is>
          <t>Pembayaran QRIS</t>
        </is>
      </c>
      <c r="B191" s="17" t="inlineStr">
        <is>
          <t>TC-PG-10</t>
        </is>
      </c>
      <c r="C191" s="20" t="inlineStr">
        <is>
          <t>P2</t>
        </is>
      </c>
      <c r="D191" s="16" t="inlineStr">
        <is>
          <t>Simpan QR ke galeri dari layar pelanggan</t>
        </is>
      </c>
      <c r="E191" s="16" t="inlineStr">
        <is>
          <t>Tersimpan dan masih bisa dipindai dari galeri</t>
        </is>
      </c>
      <c r="F191" s="16" t="inlineStr">
        <is>
          <t>—</t>
        </is>
      </c>
      <c r="G191" s="16" t="inlineStr"/>
      <c r="H191" s="16" t="inlineStr"/>
      <c r="I191" s="16" t="inlineStr"/>
    </row>
    <row r="192">
      <c r="A192" s="13" t="inlineStr">
        <is>
          <t>Pembayaran QRIS</t>
        </is>
      </c>
      <c r="B192" s="14" t="inlineStr">
        <is>
          <t>TC-PG-11</t>
        </is>
      </c>
      <c r="C192" s="15" t="inlineStr">
        <is>
          <t>P1</t>
        </is>
      </c>
      <c r="D192" s="13" t="inlineStr">
        <is>
          <t>Bayar QRIS sampai sukses, periksa payment_charges</t>
        </is>
      </c>
      <c r="E192" s="13" t="inlineStr">
        <is>
          <t>Sepuluh kolom rincian kuitansinya terisi</t>
        </is>
      </c>
      <c r="F192" s="13" t="inlineStr">
        <is>
          <t>F-PG-11</t>
        </is>
      </c>
      <c r="G192" s="13" t="inlineStr"/>
      <c r="H192" s="13" t="inlineStr"/>
      <c r="I192" s="13" t="inlineStr"/>
    </row>
    <row r="193">
      <c r="A193" s="16" t="inlineStr">
        <is>
          <t>Pembayaran QRIS</t>
        </is>
      </c>
      <c r="B193" s="17" t="inlineStr">
        <is>
          <t>TC-PG-12</t>
        </is>
      </c>
      <c r="C193" s="18" t="inlineStr">
        <is>
          <t>P1</t>
        </is>
      </c>
      <c r="D193" s="16" t="inlineStr">
        <is>
          <t>Cocokkan transaction_id dengan dashboard Xendit</t>
        </is>
      </c>
      <c r="E193" s="16" t="inlineStr">
        <is>
          <t>Sama persis</t>
        </is>
      </c>
      <c r="F193" s="16" t="inlineStr">
        <is>
          <t>F-PG-11</t>
        </is>
      </c>
      <c r="G193" s="16" t="inlineStr"/>
      <c r="H193" s="16" t="inlineStr"/>
      <c r="I193" s="16" t="inlineStr"/>
    </row>
    <row r="194">
      <c r="A194" s="13" t="inlineStr">
        <is>
          <t>Pembayaran QRIS</t>
        </is>
      </c>
      <c r="B194" s="14" t="inlineStr">
        <is>
          <t>TC-PG-13</t>
        </is>
      </c>
      <c r="C194" s="19" t="inlineStr">
        <is>
          <t>P2</t>
        </is>
      </c>
      <c r="D194" s="13" t="inlineStr">
        <is>
          <t>Jalankan bagian SQL-nya pada basis data berisi pembayaran lama</t>
        </is>
      </c>
      <c r="E194" s="13" t="inlineStr">
        <is>
          <t>Pembayaran lama ikut terisi dari raw</t>
        </is>
      </c>
      <c r="F194" s="13" t="inlineStr">
        <is>
          <t>F-PG-11</t>
        </is>
      </c>
      <c r="G194" s="13" t="inlineStr"/>
      <c r="H194" s="13" t="inlineStr"/>
      <c r="I194" s="13" t="inlineStr"/>
    </row>
    <row r="195">
      <c r="A195" s="16" t="inlineStr">
        <is>
          <t>Pembayaran QRIS</t>
        </is>
      </c>
      <c r="B195" s="17" t="inlineStr">
        <is>
          <t>TC-PG-14</t>
        </is>
      </c>
      <c r="C195" s="20" t="inlineStr">
        <is>
          <t>P2</t>
        </is>
      </c>
      <c r="D195" s="16" t="inlineStr">
        <is>
          <t>Kirim ulang callback yang sama</t>
        </is>
      </c>
      <c r="E195" s="16" t="inlineStr">
        <is>
          <t>Nilai yang sudah terisi tidak tertimpa kosong</t>
        </is>
      </c>
      <c r="F195" s="16" t="inlineStr">
        <is>
          <t>F-PG-11</t>
        </is>
      </c>
      <c r="G195" s="16" t="inlineStr"/>
      <c r="H195" s="16" t="inlineStr"/>
      <c r="I195" s="16" t="inlineStr"/>
    </row>
    <row r="196">
      <c r="A196" s="13" t="inlineStr">
        <is>
          <t>Pembayaran QRIS</t>
        </is>
      </c>
      <c r="B196" s="14" t="inlineStr">
        <is>
          <t>TC-PG-15</t>
        </is>
      </c>
      <c r="C196" s="15" t="inlineStr">
        <is>
          <t>P1</t>
        </is>
      </c>
      <c r="D196" s="13" t="inlineStr">
        <is>
          <t>Pembayaran gagal / kedaluwarsa</t>
        </is>
      </c>
      <c r="E196" s="13" t="inlineStr">
        <is>
          <t>Rinciannya tetap tersimpan; provider_status terisi</t>
        </is>
      </c>
      <c r="F196" s="13" t="inlineStr">
        <is>
          <t>F-PG-12, F-PG-13</t>
        </is>
      </c>
      <c r="G196" s="13" t="inlineStr"/>
      <c r="H196" s="13" t="inlineStr"/>
      <c r="I196" s="13" t="inlineStr"/>
    </row>
    <row r="197">
      <c r="A197" s="16" t="inlineStr">
        <is>
          <t>Pembayaran QRIS</t>
        </is>
      </c>
      <c r="B197" s="17" t="inlineStr">
        <is>
          <t>TC-PG-16</t>
        </is>
      </c>
      <c r="C197" s="18" t="inlineStr">
        <is>
          <t>P1</t>
        </is>
      </c>
      <c r="D197" s="16" t="inlineStr">
        <is>
          <t>Buat QR lalu biarkan menunggu, periksa barisnya</t>
        </is>
      </c>
      <c r="E197" s="16" t="inlineStr">
        <is>
          <t>Rincian yang sudah diketahui tersimpan; status masih pending</t>
        </is>
      </c>
      <c r="F197" s="16" t="inlineStr">
        <is>
          <t>F-PG-12</t>
        </is>
      </c>
      <c r="G197" s="16" t="inlineStr"/>
      <c r="H197" s="16" t="inlineStr"/>
      <c r="I197" s="16" t="inlineStr"/>
    </row>
    <row r="198">
      <c r="A198" s="13" t="inlineStr">
        <is>
          <t>Pembayaran QRIS</t>
        </is>
      </c>
      <c r="B198" s="14" t="inlineStr">
        <is>
          <t>TC-PG-17</t>
        </is>
      </c>
      <c r="C198" s="15" t="inlineStr">
        <is>
          <t>P1</t>
        </is>
      </c>
      <c r="D198" s="13" t="inlineStr">
        <is>
          <t>Bayar QR yang tadi menunggu</t>
        </is>
      </c>
      <c r="E198" s="13" t="inlineStr">
        <is>
          <t>status jadi paid, provider_status jadi SUCCEEDED</t>
        </is>
      </c>
      <c r="F198" s="13" t="inlineStr">
        <is>
          <t>F-PG-14</t>
        </is>
      </c>
      <c r="G198" s="13" t="inlineStr"/>
      <c r="H198" s="13" t="inlineStr"/>
      <c r="I198" s="13" t="inlineStr"/>
    </row>
    <row r="199">
      <c r="A199" s="16" t="inlineStr">
        <is>
          <t>Pembayaran QRIS</t>
        </is>
      </c>
      <c r="B199" s="17" t="inlineStr">
        <is>
          <t>TC-PG-18</t>
        </is>
      </c>
      <c r="C199" s="18" t="inlineStr">
        <is>
          <t>P1</t>
        </is>
      </c>
      <c r="D199" s="16" t="inlineStr">
        <is>
          <t>QR kedaluwarsa lalu pelanggan bayar tunai di kasir</t>
        </is>
      </c>
      <c r="E199" s="16" t="inlineStr">
        <is>
          <t>Pesanannya tetap bisa dilunasi — status tidak ikut ditutup</t>
        </is>
      </c>
      <c r="F199" s="16" t="inlineStr">
        <is>
          <t>F-PG-14</t>
        </is>
      </c>
      <c r="G199" s="16" t="inlineStr"/>
      <c r="H199" s="16" t="inlineStr"/>
      <c r="I199" s="16" t="inlineStr"/>
    </row>
    <row r="200">
      <c r="A200" s="13" t="inlineStr">
        <is>
          <t>Pembayaran QRIS</t>
        </is>
      </c>
      <c r="B200" s="14" t="inlineStr">
        <is>
          <t>TC-PG-19</t>
        </is>
      </c>
      <c r="C200" s="19" t="inlineStr">
        <is>
          <t>P2</t>
        </is>
      </c>
      <c r="D200" s="13" t="inlineStr">
        <is>
          <t>Periksa failure_reason pada pembayaran yang ditolak</t>
        </is>
      </c>
      <c r="E200" s="13" t="inlineStr">
        <is>
          <t>Terisi sebabnya dari penyedia</t>
        </is>
      </c>
      <c r="F200" s="13" t="inlineStr">
        <is>
          <t>F-PG-13</t>
        </is>
      </c>
      <c r="G200" s="13" t="inlineStr"/>
      <c r="H200" s="13" t="inlineStr"/>
      <c r="I200" s="13" t="inlineStr"/>
    </row>
    <row r="201">
      <c r="A201" s="16" t="inlineStr">
        <is>
          <t>Pembatalan &amp; Kedaluwarsa</t>
        </is>
      </c>
      <c r="B201" s="17" t="inlineStr">
        <is>
          <t>TC-CN-01</t>
        </is>
      </c>
      <c r="C201" s="18" t="inlineStr">
        <is>
          <t>P1</t>
        </is>
      </c>
      <c r="D201" s="16" t="inlineStr">
        <is>
          <t>Pesanan belum dibayar → Pesanan Saya → Batalkan</t>
        </is>
      </c>
      <c r="E201" s="16" t="inlineStr">
        <is>
          <t>Berhasil; statusnya jadi Dibatalkan</t>
        </is>
      </c>
      <c r="F201" s="16" t="inlineStr">
        <is>
          <t>F-CN-01, F-CN-02</t>
        </is>
      </c>
      <c r="G201" s="16" t="inlineStr"/>
      <c r="H201" s="16" t="inlineStr"/>
      <c r="I201" s="16" t="inlineStr"/>
    </row>
    <row r="202">
      <c r="A202" s="13" t="inlineStr">
        <is>
          <t>Pembatalan &amp; Kedaluwarsa</t>
        </is>
      </c>
      <c r="B202" s="14" t="inlineStr">
        <is>
          <t>TC-CN-02</t>
        </is>
      </c>
      <c r="C202" s="15" t="inlineStr">
        <is>
          <t>P1</t>
        </is>
      </c>
      <c r="D202" s="13" t="inlineStr">
        <is>
          <t>Hal yang sama dari layar Riwayat</t>
        </is>
      </c>
      <c r="E202" s="13" t="inlineStr">
        <is>
          <t>Tombolnya ada dan bekerja sama persis</t>
        </is>
      </c>
      <c r="F202" s="13" t="inlineStr">
        <is>
          <t>F-CN-02</t>
        </is>
      </c>
      <c r="G202" s="13" t="inlineStr"/>
      <c r="H202" s="13" t="inlineStr"/>
      <c r="I202" s="13" t="inlineStr"/>
    </row>
    <row r="203">
      <c r="A203" s="16" t="inlineStr">
        <is>
          <t>Pembatalan &amp; Kedaluwarsa</t>
        </is>
      </c>
      <c r="B203" s="17" t="inlineStr">
        <is>
          <t>TC-CN-03</t>
        </is>
      </c>
      <c r="C203" s="18" t="inlineStr">
        <is>
          <t>P1</t>
        </is>
      </c>
      <c r="D203" s="16" t="inlineStr">
        <is>
          <t>Dapur menekan Mulai Masak → pelanggan mencoba membatalkan</t>
        </is>
      </c>
      <c r="E203" s="16" t="inlineStr">
        <is>
          <t>Ditolak; pesannya mengarahkan ke kasir</t>
        </is>
      </c>
      <c r="F203" s="16" t="inlineStr">
        <is>
          <t>F-CN-03</t>
        </is>
      </c>
      <c r="G203" s="16" t="inlineStr"/>
      <c r="H203" s="16" t="inlineStr"/>
      <c r="I203" s="16" t="inlineStr"/>
    </row>
    <row r="204">
      <c r="A204" s="13" t="inlineStr">
        <is>
          <t>Pembatalan &amp; Kedaluwarsa</t>
        </is>
      </c>
      <c r="B204" s="14" t="inlineStr">
        <is>
          <t>TC-CN-04</t>
        </is>
      </c>
      <c r="C204" s="15" t="inlineStr">
        <is>
          <t>P1</t>
        </is>
      </c>
      <c r="D204" s="13" t="inlineStr">
        <is>
          <t>Pesanan yang sudah dibayar</t>
        </is>
      </c>
      <c r="E204" s="13" t="inlineStr">
        <is>
          <t>Tombol batal tidak ada</t>
        </is>
      </c>
      <c r="F204" s="13" t="inlineStr">
        <is>
          <t>F-CN-01</t>
        </is>
      </c>
      <c r="G204" s="13" t="inlineStr"/>
      <c r="H204" s="13" t="inlineStr"/>
      <c r="I204" s="13" t="inlineStr"/>
    </row>
    <row r="205">
      <c r="A205" s="16" t="inlineStr">
        <is>
          <t>Pembatalan &amp; Kedaluwarsa</t>
        </is>
      </c>
      <c r="B205" s="17" t="inlineStr">
        <is>
          <t>TC-CN-05</t>
        </is>
      </c>
      <c r="C205" s="18" t="inlineStr">
        <is>
          <t>P1</t>
        </is>
      </c>
      <c r="D205" s="16" t="inlineStr">
        <is>
          <t>Coba batalkan pesanan orang lain (dari perangkat berbeda)</t>
        </is>
      </c>
      <c r="E205" s="16" t="inlineStr">
        <is>
          <t>Ditolak</t>
        </is>
      </c>
      <c r="F205" s="16" t="inlineStr">
        <is>
          <t>F-CN-04, TSD §5.2</t>
        </is>
      </c>
      <c r="G205" s="16" t="inlineStr"/>
      <c r="H205" s="16" t="inlineStr"/>
      <c r="I205" s="16" t="inlineStr"/>
    </row>
    <row r="206">
      <c r="A206" s="13" t="inlineStr">
        <is>
          <t>Pembatalan &amp; Kedaluwarsa</t>
        </is>
      </c>
      <c r="B206" s="14" t="inlineStr">
        <is>
          <t>TC-CN-06</t>
        </is>
      </c>
      <c r="C206" s="15" t="inlineStr">
        <is>
          <t>P1</t>
        </is>
      </c>
      <c r="D206" s="13" t="inlineStr">
        <is>
          <t>Pesanan tunai dibiarkan 31 menit</t>
        </is>
      </c>
      <c r="E206" s="13" t="inlineStr">
        <is>
          <t>Statusnya jadi Hangus sendiri</t>
        </is>
      </c>
      <c r="F206" s="13" t="inlineStr">
        <is>
          <t>F-CN-05</t>
        </is>
      </c>
      <c r="G206" s="13" t="inlineStr"/>
      <c r="H206" s="13" t="inlineStr"/>
      <c r="I206" s="13" t="inlineStr"/>
    </row>
    <row r="207">
      <c r="A207" s="16" t="inlineStr">
        <is>
          <t>Pembatalan &amp; Kedaluwarsa</t>
        </is>
      </c>
      <c r="B207" s="17" t="inlineStr">
        <is>
          <t>TC-CN-07</t>
        </is>
      </c>
      <c r="C207" s="18" t="inlineStr">
        <is>
          <t>P1</t>
        </is>
      </c>
      <c r="D207" s="16" t="inlineStr">
        <is>
          <t>Bandingkan tampilan pesanan Dibatalkan dan Hangus</t>
        </is>
      </c>
      <c r="E207" s="16" t="inlineStr">
        <is>
          <t>Dua label berbeda, tidak tertukar</t>
        </is>
      </c>
      <c r="F207" s="16" t="inlineStr">
        <is>
          <t>F-CN-06</t>
        </is>
      </c>
      <c r="G207" s="16" t="inlineStr"/>
      <c r="H207" s="16" t="inlineStr"/>
      <c r="I207" s="16" t="inlineStr"/>
    </row>
    <row r="208">
      <c r="A208" s="13" t="inlineStr">
        <is>
          <t>Pembatalan &amp; Kedaluwarsa</t>
        </is>
      </c>
      <c r="B208" s="14" t="inlineStr">
        <is>
          <t>TC-CN-08</t>
        </is>
      </c>
      <c r="C208" s="15" t="inlineStr">
        <is>
          <t>P1</t>
        </is>
      </c>
      <c r="D208" s="13" t="inlineStr">
        <is>
          <t>Buka Pesanan Masuk sesudah ada pesanan dibatalkan</t>
        </is>
      </c>
      <c r="E208" s="13" t="inlineStr">
        <is>
          <t>Tidak muncul, dan tidak berlabel "Menunggu Pembayaran"</t>
        </is>
      </c>
      <c r="F208" s="13" t="inlineStr">
        <is>
          <t>A-17</t>
        </is>
      </c>
      <c r="G208" s="13" t="inlineStr"/>
      <c r="H208" s="13" t="inlineStr"/>
      <c r="I208" s="13" t="inlineStr"/>
    </row>
    <row r="209">
      <c r="A209" s="16" t="inlineStr">
        <is>
          <t>Pembatalan &amp; Kedaluwarsa</t>
        </is>
      </c>
      <c r="B209" s="17" t="inlineStr">
        <is>
          <t>TC-CN-09</t>
        </is>
      </c>
      <c r="C209" s="18" t="inlineStr">
        <is>
          <t>P1</t>
        </is>
      </c>
      <c r="D209" s="16" t="inlineStr">
        <is>
          <t>Pesanan QRIS yang belum dibayar dibiarkan 31 menit</t>
        </is>
      </c>
      <c r="E209" s="16" t="inlineStr">
        <is>
          <t>Tidak ikut hangus — tenggangnya di sisi penyedia</t>
        </is>
      </c>
      <c r="F209" s="16" t="inlineStr">
        <is>
          <t>TSD §7.2</t>
        </is>
      </c>
      <c r="G209" s="16" t="inlineStr"/>
      <c r="H209" s="16" t="inlineStr"/>
      <c r="I209" s="16" t="inlineStr"/>
    </row>
    <row r="210">
      <c r="A210" s="13" t="inlineStr">
        <is>
          <t>Sesi Meja &amp; Identitas</t>
        </is>
      </c>
      <c r="B210" s="14" t="inlineStr">
        <is>
          <t>TC-SS-01</t>
        </is>
      </c>
      <c r="C210" s="19" t="inlineStr">
        <is>
          <t>P2</t>
        </is>
      </c>
      <c r="D210" s="13" t="inlineStr">
        <is>
          <t>Pindai QR meja</t>
        </is>
      </c>
      <c r="E210" s="13" t="inlineStr">
        <is>
          <t>Sesi terbuka: resto dan nomor meja terisi sendiri</t>
        </is>
      </c>
      <c r="F210" s="13" t="inlineStr">
        <is>
          <t>F-SS-01</t>
        </is>
      </c>
      <c r="G210" s="13" t="inlineStr"/>
      <c r="H210" s="13" t="inlineStr"/>
      <c r="I210" s="13" t="inlineStr"/>
    </row>
    <row r="211">
      <c r="A211" s="16" t="inlineStr">
        <is>
          <t>Sesi Meja &amp; Identitas</t>
        </is>
      </c>
      <c r="B211" s="17" t="inlineStr">
        <is>
          <t>TC-SS-02</t>
        </is>
      </c>
      <c r="C211" s="20" t="inlineStr">
        <is>
          <t>P2</t>
        </is>
      </c>
      <c r="D211" s="16" t="inlineStr">
        <is>
          <t>Pesan sebagai tamu, tutup aplikasi, buka lagi</t>
        </is>
      </c>
      <c r="E211" s="16" t="inlineStr">
        <is>
          <t>Riwayatnya masih ada</t>
        </is>
      </c>
      <c r="F211" s="16" t="inlineStr">
        <is>
          <t>F-SS-02</t>
        </is>
      </c>
      <c r="G211" s="16" t="inlineStr"/>
      <c r="H211" s="16" t="inlineStr"/>
      <c r="I211" s="16" t="inlineStr"/>
    </row>
    <row r="212">
      <c r="A212" s="13" t="inlineStr">
        <is>
          <t>Sesi Meja &amp; Identitas</t>
        </is>
      </c>
      <c r="B212" s="14" t="inlineStr">
        <is>
          <t>TC-SS-03</t>
        </is>
      </c>
      <c r="C212" s="15" t="inlineStr">
        <is>
          <t>P1</t>
        </is>
      </c>
      <c r="D212" s="13" t="inlineStr">
        <is>
          <t>Pesan sebagai tamu → login dengan email yang belum pernah dipakai</t>
        </is>
      </c>
      <c r="E212" s="13" t="inlineStr">
        <is>
          <t>Riwayat tamunya berpindah ke akun itu</t>
        </is>
      </c>
      <c r="F212" s="13" t="inlineStr">
        <is>
          <t>F-SS-03, F-CU-13</t>
        </is>
      </c>
      <c r="G212" s="13" t="inlineStr"/>
      <c r="H212" s="13" t="inlineStr"/>
      <c r="I212" s="13" t="inlineStr"/>
    </row>
    <row r="213">
      <c r="A213" s="16" t="inlineStr">
        <is>
          <t>Sesi Meja &amp; Identitas</t>
        </is>
      </c>
      <c r="B213" s="17" t="inlineStr">
        <is>
          <t>TC-SS-04</t>
        </is>
      </c>
      <c r="C213" s="18" t="inlineStr">
        <is>
          <t>P1</t>
        </is>
      </c>
      <c r="D213" s="16" t="inlineStr">
        <is>
          <t>Pesan sebagai tamu → login dengan email yang sudah punya riwayat</t>
        </is>
      </c>
      <c r="E213" s="16" t="inlineStr">
        <is>
          <t>Keduanya tetap terpisah; riwayat akun tidak tercampur</t>
        </is>
      </c>
      <c r="F213" s="16" t="inlineStr">
        <is>
          <t>F-SS-04, F-SS-05</t>
        </is>
      </c>
      <c r="G213" s="16" t="inlineStr"/>
      <c r="H213" s="16" t="inlineStr"/>
      <c r="I213" s="16" t="inlineStr"/>
    </row>
    <row r="214">
      <c r="A214" s="13" t="inlineStr">
        <is>
          <t>Sesi Meja &amp; Identitas</t>
        </is>
      </c>
      <c r="B214" s="14" t="inlineStr">
        <is>
          <t>TC-SS-05</t>
        </is>
      </c>
      <c r="C214" s="19" t="inlineStr">
        <is>
          <t>P2</t>
        </is>
      </c>
      <c r="D214" s="13" t="inlineStr">
        <is>
          <t>Kasus di atas → logout lagi</t>
        </is>
      </c>
      <c r="E214" s="13" t="inlineStr">
        <is>
          <t>Riwayat tamu masih ada di perangkat</t>
        </is>
      </c>
      <c r="F214" s="13" t="inlineStr">
        <is>
          <t>F-SS-05</t>
        </is>
      </c>
      <c r="G214" s="13" t="inlineStr"/>
      <c r="H214" s="13" t="inlineStr"/>
      <c r="I214" s="13" t="inlineStr"/>
    </row>
    <row r="215">
      <c r="A215" s="16" t="inlineStr">
        <is>
          <t>Sesi Meja &amp; Identitas</t>
        </is>
      </c>
      <c r="B215" s="17" t="inlineStr">
        <is>
          <t>TC-SS-06</t>
        </is>
      </c>
      <c r="C215" s="20" t="inlineStr">
        <is>
          <t>P2</t>
        </is>
      </c>
      <c r="D215" s="16" t="inlineStr">
        <is>
          <t>Selesaikan seluruh pesanan dalam sesi, tunggu 6 menit</t>
        </is>
      </c>
      <c r="E215" s="16" t="inlineStr">
        <is>
          <t>Sesinya tertutup sendiri</t>
        </is>
      </c>
      <c r="F215" s="16" t="inlineStr">
        <is>
          <t>F-SS-06</t>
        </is>
      </c>
      <c r="G215" s="16" t="inlineStr"/>
      <c r="H215" s="16" t="inlineStr"/>
      <c r="I215" s="16" t="inlineStr"/>
    </row>
    <row r="216">
      <c r="A216" s="13" t="inlineStr">
        <is>
          <t>Sesi Meja &amp; Identitas</t>
        </is>
      </c>
      <c r="B216" s="14" t="inlineStr">
        <is>
          <t>TC-SS-07</t>
        </is>
      </c>
      <c r="C216" s="19" t="inlineStr">
        <is>
          <t>P2</t>
        </is>
      </c>
      <c r="D216" s="13" t="inlineStr">
        <is>
          <t>Sisakan satu pesanan belum selesai, tunggu 10 menit</t>
        </is>
      </c>
      <c r="E216" s="13" t="inlineStr">
        <is>
          <t>Sesinya tetap terbuka</t>
        </is>
      </c>
      <c r="F216" s="13" t="inlineStr">
        <is>
          <t>F-SS-07</t>
        </is>
      </c>
      <c r="G216" s="13" t="inlineStr"/>
      <c r="H216" s="13" t="inlineStr"/>
      <c r="I216" s="13" t="inlineStr"/>
    </row>
    <row r="217">
      <c r="A217" s="16" t="inlineStr">
        <is>
          <t>Tampilan</t>
        </is>
      </c>
      <c r="B217" s="17" t="inlineStr">
        <is>
          <t>TC-TM-01</t>
        </is>
      </c>
      <c r="C217" s="22" t="inlineStr">
        <is>
          <t>P3</t>
        </is>
      </c>
      <c r="D217" s="16" t="inlineStr">
        <is>
          <t>Ganti tema dari halaman awal, sebelum masuk</t>
        </is>
      </c>
      <c r="E217" s="16" t="inlineStr">
        <is>
          <t>Berlaku seketika</t>
        </is>
      </c>
      <c r="F217" s="16" t="inlineStr">
        <is>
          <t>F-TM-01, F-TM-02</t>
        </is>
      </c>
      <c r="G217" s="16" t="inlineStr"/>
      <c r="H217" s="16" t="inlineStr"/>
      <c r="I217" s="16" t="inlineStr"/>
    </row>
    <row r="218">
      <c r="A218" s="13" t="inlineStr">
        <is>
          <t>Tampilan</t>
        </is>
      </c>
      <c r="B218" s="14" t="inlineStr">
        <is>
          <t>TC-TM-02</t>
        </is>
      </c>
      <c r="C218" s="21" t="inlineStr">
        <is>
          <t>P3</t>
        </is>
      </c>
      <c r="D218" s="13" t="inlineStr">
        <is>
          <t>Ganti tema dari tiap peran: Kasir, Chef, Admin, Finance, Owner, Pelanggan</t>
        </is>
      </c>
      <c r="E218" s="13" t="inlineStr">
        <is>
          <t>Tersedia dan bekerja di semuanya</t>
        </is>
      </c>
      <c r="F218" s="13" t="inlineStr">
        <is>
          <t>F-TM-02</t>
        </is>
      </c>
      <c r="G218" s="13" t="inlineStr"/>
      <c r="H218" s="13" t="inlineStr"/>
      <c r="I218" s="13" t="inlineStr"/>
    </row>
    <row r="219">
      <c r="A219" s="16" t="inlineStr">
        <is>
          <t>Tampilan</t>
        </is>
      </c>
      <c r="B219" s="17" t="inlineStr">
        <is>
          <t>TC-TM-03</t>
        </is>
      </c>
      <c r="C219" s="22" t="inlineStr">
        <is>
          <t>P3</t>
        </is>
      </c>
      <c r="D219" s="16" t="inlineStr">
        <is>
          <t>Pilih Ikuti HP, ubah tema sistem Android</t>
        </is>
      </c>
      <c r="E219" s="16" t="inlineStr">
        <is>
          <t>Aplikasi mengikuti tanpa dibuka ulang</t>
        </is>
      </c>
      <c r="F219" s="16" t="inlineStr">
        <is>
          <t>F-TM-01</t>
        </is>
      </c>
      <c r="G219" s="16" t="inlineStr"/>
      <c r="H219" s="16" t="inlineStr"/>
      <c r="I219" s="16" t="inlineStr"/>
    </row>
    <row r="220">
      <c r="A220" s="13" t="inlineStr">
        <is>
          <t>Tampilan</t>
        </is>
      </c>
      <c r="B220" s="14" t="inlineStr">
        <is>
          <t>TC-TM-04</t>
        </is>
      </c>
      <c r="C220" s="21" t="inlineStr">
        <is>
          <t>P3</t>
        </is>
      </c>
      <c r="D220" s="13" t="inlineStr">
        <is>
          <t>Pilih Gelap, tutup aplikasi, buka lagi</t>
        </is>
      </c>
      <c r="E220" s="13" t="inlineStr">
        <is>
          <t>Tetap gelap</t>
        </is>
      </c>
      <c r="F220" s="13" t="inlineStr">
        <is>
          <t>F-TM-03</t>
        </is>
      </c>
      <c r="G220" s="13" t="inlineStr"/>
      <c r="H220" s="13" t="inlineStr"/>
      <c r="I220" s="13" t="inlineStr"/>
    </row>
    <row r="221">
      <c r="A221" s="16" t="inlineStr">
        <is>
          <t>Tampilan</t>
        </is>
      </c>
      <c r="B221" s="17" t="inlineStr">
        <is>
          <t>TC-TM-05</t>
        </is>
      </c>
      <c r="C221" s="20" t="inlineStr">
        <is>
          <t>P2</t>
        </is>
      </c>
      <c r="D221" s="16" t="inlineStr">
        <is>
          <t>Telusuri seluruh layar dalam mode gelap</t>
        </is>
      </c>
      <c r="E221" s="16" t="inlineStr">
        <is>
          <t>Tidak ada tulisan yang hilang di latarnya; kartu selalu lebih terang daripada latar</t>
        </is>
      </c>
      <c r="F221" s="16" t="inlineStr">
        <is>
          <t>A-18</t>
        </is>
      </c>
      <c r="G221" s="16" t="inlineStr"/>
      <c r="H221" s="16" t="inlineStr"/>
      <c r="I221" s="16" t="inlineStr"/>
    </row>
    <row r="222">
      <c r="A222" s="13" t="inlineStr">
        <is>
          <t>Tampilan</t>
        </is>
      </c>
      <c r="B222" s="14" t="inlineStr">
        <is>
          <t>TC-TM-06</t>
        </is>
      </c>
      <c r="C222" s="19" t="inlineStr">
        <is>
          <t>P2</t>
        </is>
      </c>
      <c r="D222" s="13" t="inlineStr">
        <is>
          <t>Hal yang sama dalam mode terang</t>
        </is>
      </c>
      <c r="E222" s="13" t="inlineStr">
        <is>
          <t>Sama</t>
        </is>
      </c>
      <c r="F222" s="13" t="inlineStr">
        <is>
          <t>A-18</t>
        </is>
      </c>
      <c r="G222" s="13" t="inlineStr"/>
      <c r="H222" s="13" t="inlineStr"/>
      <c r="I222" s="13" t="inlineStr"/>
    </row>
    <row r="223">
      <c r="A223" s="16" t="inlineStr">
        <is>
          <t>Tampilan</t>
        </is>
      </c>
      <c r="B223" s="17" t="inlineStr">
        <is>
          <t>TC-TM-07</t>
        </is>
      </c>
      <c r="C223" s="22" t="inlineStr">
        <is>
          <t>P3</t>
        </is>
      </c>
      <c r="D223" s="16" t="inlineStr">
        <is>
          <t>Perkecil lebar layar / perangkat sempit</t>
        </is>
      </c>
      <c r="E223" s="16" t="inlineStr">
        <is>
          <t>Pilihan tema menyusut jadi ikon saja</t>
        </is>
      </c>
      <c r="F223" s="16" t="inlineStr">
        <is>
          <t>F-TM-04</t>
        </is>
      </c>
      <c r="G223" s="16" t="inlineStr"/>
      <c r="H223" s="16" t="inlineStr"/>
      <c r="I223" s="16" t="inlineStr"/>
    </row>
    <row r="224">
      <c r="A224" s="13" t="inlineStr">
        <is>
          <t>Tampilan</t>
        </is>
      </c>
      <c r="B224" s="14" t="inlineStr">
        <is>
          <t>TC-TM-08</t>
        </is>
      </c>
      <c r="C224" s="21" t="inlineStr">
        <is>
          <t>P3</t>
        </is>
      </c>
      <c r="D224" s="13" t="inlineStr">
        <is>
          <t>Buka daftar panjang mana pun sampai ujung bawah</t>
        </is>
      </c>
      <c r="E224" s="13" t="inlineStr">
        <is>
          <t>Tombol aksi tidak menutupi baris terakhir</t>
        </is>
      </c>
      <c r="F224" s="13" t="inlineStr">
        <is>
          <t>A-11</t>
        </is>
      </c>
      <c r="G224" s="13" t="inlineStr"/>
      <c r="H224" s="13" t="inlineStr"/>
      <c r="I224" s="13" t="inlineStr"/>
    </row>
    <row r="225">
      <c r="A225" s="16" t="inlineStr">
        <is>
          <t>Tampilan</t>
        </is>
      </c>
      <c r="B225" s="17" t="inlineStr">
        <is>
          <t>TC-TM-09</t>
        </is>
      </c>
      <c r="C225" s="20" t="inlineStr">
        <is>
          <t>P2</t>
        </is>
      </c>
      <c r="D225" s="16" t="inlineStr">
        <is>
          <t>Buka menu utama Kasir, Admin, Finance, Super Admin, Owner</t>
        </is>
      </c>
      <c r="E225" s="16" t="inlineStr">
        <is>
          <t>Halaman awal berisi kartu kelompok, bukan belasan menu</t>
        </is>
      </c>
      <c r="F225" s="16" t="inlineStr">
        <is>
          <t>F-TM-05</t>
        </is>
      </c>
      <c r="G225" s="16" t="inlineStr"/>
      <c r="H225" s="16" t="inlineStr"/>
      <c r="I225" s="16" t="inlineStr"/>
    </row>
    <row r="226">
      <c r="A226" s="13" t="inlineStr">
        <is>
          <t>Tampilan</t>
        </is>
      </c>
      <c r="B226" s="14" t="inlineStr">
        <is>
          <t>TC-TM-10</t>
        </is>
      </c>
      <c r="C226" s="15" t="inlineStr">
        <is>
          <t>P1</t>
        </is>
      </c>
      <c r="D226" s="13" t="inlineStr">
        <is>
          <t>Buka tiap kelompok, hitung seluruh menunya</t>
        </is>
      </c>
      <c r="E226" s="13" t="inlineStr">
        <is>
          <t>Tidak ada satu pun menu yang hilang</t>
        </is>
      </c>
      <c r="F226" s="13" t="inlineStr">
        <is>
          <t>F-TM-05</t>
        </is>
      </c>
      <c r="G226" s="13" t="inlineStr"/>
      <c r="H226" s="13" t="inlineStr"/>
      <c r="I226" s="13" t="inlineStr"/>
    </row>
    <row r="227">
      <c r="A227" s="16" t="inlineStr">
        <is>
          <t>Tampilan</t>
        </is>
      </c>
      <c r="B227" s="17" t="inlineStr">
        <is>
          <t>TC-TM-11</t>
        </is>
      </c>
      <c r="C227" s="20" t="inlineStr">
        <is>
          <t>P2</t>
        </is>
      </c>
      <c r="D227" s="16" t="inlineStr">
        <is>
          <t>Baca kartu kelompok tanpa membukanya</t>
        </is>
      </c>
      <c r="E227" s="16" t="inlineStr">
        <is>
          <t>Isinya tersebut di keterangannya</t>
        </is>
      </c>
      <c r="F227" s="16" t="inlineStr">
        <is>
          <t>F-TM-06</t>
        </is>
      </c>
      <c r="G227" s="16" t="inlineStr"/>
      <c r="H227" s="16" t="inlineStr"/>
      <c r="I227" s="16" t="inlineStr"/>
    </row>
    <row r="228">
      <c r="A228" s="13" t="inlineStr">
        <is>
          <t>Tampilan</t>
        </is>
      </c>
      <c r="B228" s="14" t="inlineStr">
        <is>
          <t>TC-TM-12</t>
        </is>
      </c>
      <c r="C228" s="15" t="inlineStr">
        <is>
          <t>P1</t>
        </is>
      </c>
      <c r="D228" s="13" t="inlineStr">
        <is>
          <t>Periksa Kotak Masuk, Pengaturan, dan Keluar</t>
        </is>
      </c>
      <c r="E228" s="13" t="inlineStr">
        <is>
          <t>Ketiganya di halaman awal, tidak di dalam kelompok</t>
        </is>
      </c>
      <c r="F228" s="13" t="inlineStr">
        <is>
          <t>F-TM-07</t>
        </is>
      </c>
      <c r="G228" s="13" t="inlineStr"/>
      <c r="H228" s="13" t="inlineStr"/>
      <c r="I228" s="13" t="inlineStr"/>
    </row>
    <row r="229">
      <c r="A229" s="16" t="inlineStr">
        <is>
          <t>Tampilan</t>
        </is>
      </c>
      <c r="B229" s="17" t="inlineStr">
        <is>
          <t>TC-TM-13</t>
        </is>
      </c>
      <c r="C229" s="18" t="inlineStr">
        <is>
          <t>P1</t>
        </is>
      </c>
      <c r="D229" s="16" t="inlineStr">
        <is>
          <t>Ajukan top up petty cash, buka halaman awal peran mana pun</t>
        </is>
      </c>
      <c r="E229" s="16" t="inlineStr">
        <is>
          <t>Kartu Keuangan membawa penanda merah tanpa perlu dibuka</t>
        </is>
      </c>
      <c r="F229" s="16" t="inlineStr">
        <is>
          <t>F-TM-08, A-07</t>
        </is>
      </c>
      <c r="G229" s="16" t="inlineStr"/>
      <c r="H229" s="16" t="inlineStr"/>
      <c r="I229" s="16" t="inlineStr"/>
    </row>
    <row r="230">
      <c r="A230" s="13" t="inlineStr">
        <is>
          <t>Tampilan</t>
        </is>
      </c>
      <c r="B230" s="14" t="inlineStr">
        <is>
          <t>TC-TM-14</t>
        </is>
      </c>
      <c r="C230" s="15" t="inlineStr">
        <is>
          <t>P1</t>
        </is>
      </c>
      <c r="D230" s="13" t="inlineStr">
        <is>
          <t>Pesanan tunai pelanggan masuk antrean</t>
        </is>
      </c>
      <c r="E230" s="13" t="inlineStr">
        <is>
          <t>Kartu Penjualan membawa penandanya</t>
        </is>
      </c>
      <c r="F230" s="13" t="inlineStr">
        <is>
          <t>F-TM-08</t>
        </is>
      </c>
      <c r="G230" s="13" t="inlineStr"/>
      <c r="H230" s="13" t="inlineStr"/>
      <c r="I230" s="13" t="inlineStr"/>
    </row>
    <row r="231">
      <c r="A231" s="16" t="inlineStr">
        <is>
          <t>Tampilan</t>
        </is>
      </c>
      <c r="B231" s="17" t="inlineStr">
        <is>
          <t>TC-TM-15</t>
        </is>
      </c>
      <c r="C231" s="20" t="inlineStr">
        <is>
          <t>P2</t>
        </is>
      </c>
      <c r="D231" s="16" t="inlineStr">
        <is>
          <t>Setujui seluruh pengajuan, buka lagi halaman awal</t>
        </is>
      </c>
      <c r="E231" s="16" t="inlineStr">
        <is>
          <t>Penanda di kartu kelompok hilang</t>
        </is>
      </c>
      <c r="F231" s="16" t="inlineStr">
        <is>
          <t>F-TM-08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TC-SA-01</t>
        </is>
      </c>
      <c r="C232" s="19" t="inlineStr">
        <is>
          <t>P2</t>
        </is>
      </c>
      <c r="D232" s="13" t="inlineStr">
        <is>
          <t>Buka List Resto</t>
        </is>
      </c>
      <c r="E232" s="13" t="inlineStr">
        <is>
          <t>Seluruh resto terdaftar tampil</t>
        </is>
      </c>
      <c r="F232" s="13" t="inlineStr">
        <is>
          <t>F-SA-01</t>
        </is>
      </c>
      <c r="G232" s="13" t="inlineStr"/>
      <c r="H232" s="13" t="inlineStr"/>
      <c r="I232" s="13" t="inlineStr"/>
    </row>
    <row r="233">
      <c r="A233" s="16" t="inlineStr">
        <is>
          <t>Super Admin</t>
        </is>
      </c>
      <c r="B233" s="17" t="inlineStr">
        <is>
          <t>TC-SA-02</t>
        </is>
      </c>
      <c r="C233" s="20" t="inlineStr">
        <is>
          <t>P2</t>
        </is>
      </c>
      <c r="D233" s="16" t="inlineStr">
        <is>
          <t>Kelola karyawan lintas resto, ubah perannya</t>
        </is>
      </c>
      <c r="E233" s="16" t="inlineStr">
        <is>
          <t>Perubahan berlaku; karyawan itu melihat menu sesuai peran barunya</t>
        </is>
      </c>
      <c r="F233" s="16" t="inlineStr">
        <is>
          <t>F-SA-02</t>
        </is>
      </c>
      <c r="G233" s="16" t="inlineStr"/>
      <c r="H233" s="16" t="inlineStr"/>
      <c r="I233" s="16" t="inlineStr"/>
    </row>
    <row r="234">
      <c r="A234" s="13" t="inlineStr">
        <is>
          <t>Super Admin</t>
        </is>
      </c>
      <c r="B234" s="14" t="inlineStr">
        <is>
          <t>TC-SA-03</t>
        </is>
      </c>
      <c r="C234" s="15" t="inlineStr">
        <is>
          <t>P1</t>
        </is>
      </c>
      <c r="D234" s="13" t="inlineStr">
        <is>
          <t>Kirim pengumuman versi aplikasi</t>
        </is>
      </c>
      <c r="E234" s="13" t="inlineStr">
        <is>
          <t>Sampai ke seluruh pengguna, di semua resto</t>
        </is>
      </c>
      <c r="F234" s="13" t="inlineStr">
        <is>
          <t>F-SA-03, F-IN-07</t>
        </is>
      </c>
      <c r="G234" s="13" t="inlineStr"/>
      <c r="H234" s="13" t="inlineStr"/>
      <c r="I234" s="13" t="inlineStr"/>
    </row>
    <row r="235">
      <c r="A235" s="16" t="inlineStr">
        <is>
          <t>Super Admin</t>
        </is>
      </c>
      <c r="B235" s="17" t="inlineStr">
        <is>
          <t>TC-SA-04</t>
        </is>
      </c>
      <c r="C235" s="18" t="inlineStr">
        <is>
          <t>P1</t>
        </is>
      </c>
      <c r="D235" s="16" t="inlineStr">
        <is>
          <t>Buka layar Kirim Pengumuman sebagai Admin resto</t>
        </is>
      </c>
      <c r="E235" s="16" t="inlineStr">
        <is>
          <t>Pilihan kategori Update Aplikasi tidak tersedia</t>
        </is>
      </c>
      <c r="F235" s="16" t="inlineStr">
        <is>
          <t>F-SA-03, F-IN-08</t>
        </is>
      </c>
      <c r="G235" s="16" t="inlineStr"/>
      <c r="H235" s="16" t="inlineStr"/>
      <c r="I235" s="16" t="inlineStr"/>
    </row>
    <row r="236">
      <c r="A236" s="13" t="inlineStr">
        <is>
          <t>Super Admin</t>
        </is>
      </c>
      <c r="B236" s="14" t="inlineStr">
        <is>
          <t>TC-SA-05</t>
        </is>
      </c>
      <c r="C236" s="19" t="inlineStr">
        <is>
          <t>P2</t>
        </is>
      </c>
      <c r="D236" s="13" t="inlineStr">
        <is>
          <t>Kirim pengumuman umum ke seluruh resto</t>
        </is>
      </c>
      <c r="E236" s="13" t="inlineStr">
        <is>
          <t>Muncul di kotak masuk semua resto</t>
        </is>
      </c>
      <c r="F236" s="13" t="inlineStr">
        <is>
          <t>F-SA-04</t>
        </is>
      </c>
      <c r="G236" s="13" t="inlineStr"/>
      <c r="H236" s="13" t="inlineStr"/>
      <c r="I236" s="13" t="inlineStr"/>
    </row>
    <row r="237">
      <c r="A237" s="16" t="inlineStr">
        <is>
          <t>Super Admin</t>
        </is>
      </c>
      <c r="B237" s="17" t="inlineStr">
        <is>
          <t>TC-SA-06</t>
        </is>
      </c>
      <c r="C237" s="20" t="inlineStr">
        <is>
          <t>P2</t>
        </is>
      </c>
      <c r="D237" s="16" t="inlineStr">
        <is>
          <t>Telusuri menu Super Admin</t>
        </is>
      </c>
      <c r="E237" s="16" t="inlineStr">
        <is>
          <t>Tidak ada layar kasir, dapur, maupun keuangan resto</t>
        </is>
      </c>
      <c r="F237" s="16" t="inlineStr">
        <is>
          <t>F-SA-06</t>
        </is>
      </c>
      <c r="G237" s="16" t="inlineStr"/>
      <c r="H237" s="16" t="inlineStr"/>
      <c r="I237" s="16" t="inlineStr"/>
    </row>
    <row r="238">
      <c r="A238" s="13" t="inlineStr">
        <is>
          <t>Super Admin</t>
        </is>
      </c>
      <c r="B238" s="14" t="inlineStr">
        <is>
          <t>TC-SA-07</t>
        </is>
      </c>
      <c r="C238" s="15" t="inlineStr">
        <is>
          <t>P1</t>
        </is>
      </c>
      <c r="D238" s="13" t="inlineStr">
        <is>
          <t>List Resto → hapus sebuah resto</t>
        </is>
      </c>
      <c r="E238" s="13" t="inlineStr">
        <is>
          <t>Hilang dari daftar; datanya tidak dibuang</t>
        </is>
      </c>
      <c r="F238" s="13" t="inlineStr">
        <is>
          <t>F-SA-07</t>
        </is>
      </c>
      <c r="G238" s="13" t="inlineStr"/>
      <c r="H238" s="13" t="inlineStr"/>
      <c r="I238" s="13" t="inlineStr"/>
    </row>
    <row r="239">
      <c r="A239" s="16" t="inlineStr">
        <is>
          <t>Super Admin</t>
        </is>
      </c>
      <c r="B239" s="17" t="inlineStr">
        <is>
          <t>TC-SA-08</t>
        </is>
      </c>
      <c r="C239" s="18" t="inlineStr">
        <is>
          <t>P1</t>
        </is>
      </c>
      <c r="D239" s="16" t="inlineStr">
        <is>
          <t>Buka Pilih Resto sebagai pelanggan</t>
        </is>
      </c>
      <c r="E239" s="16" t="inlineStr">
        <is>
          <t>Resto terhapus tidak muncul</t>
        </is>
      </c>
      <c r="F239" s="16" t="inlineStr">
        <is>
          <t>F-SA-10</t>
        </is>
      </c>
      <c r="G239" s="16" t="inlineStr"/>
      <c r="H239" s="16" t="inlineStr"/>
      <c r="I239" s="16" t="inlineStr"/>
    </row>
    <row r="240">
      <c r="A240" s="13" t="inlineStr">
        <is>
          <t>Super Admin</t>
        </is>
      </c>
      <c r="B240" s="14" t="inlineStr">
        <is>
          <t>TC-SA-09</t>
        </is>
      </c>
      <c r="C240" s="15" t="inlineStr">
        <is>
          <t>P1</t>
        </is>
      </c>
      <c r="D240" s="13" t="inlineStr">
        <is>
          <t>Pindai QR meja resto yang sudah dihapus, coba pesan</t>
        </is>
      </c>
      <c r="E240" s="13" t="inlineStr">
        <is>
          <t>Ditolak database, bukan hanya disembunyikan layarnya</t>
        </is>
      </c>
      <c r="F240" s="13" t="inlineStr">
        <is>
          <t>F-SA-10</t>
        </is>
      </c>
      <c r="G240" s="13" t="inlineStr"/>
      <c r="H240" s="13" t="inlineStr"/>
      <c r="I240" s="13" t="inlineStr"/>
    </row>
    <row r="241">
      <c r="A241" s="16" t="inlineStr">
        <is>
          <t>Super Admin</t>
        </is>
      </c>
      <c r="B241" s="17" t="inlineStr">
        <is>
          <t>TC-SA-10</t>
        </is>
      </c>
      <c r="C241" s="18" t="inlineStr">
        <is>
          <t>P1</t>
        </is>
      </c>
      <c r="D241" s="16" t="inlineStr">
        <is>
          <t>Coba ubah harga produk resto terhapus</t>
        </is>
      </c>
      <c r="E241" s="16" t="inlineStr">
        <is>
          <t>Ditolak</t>
        </is>
      </c>
      <c r="F241" s="16" t="inlineStr">
        <is>
          <t>F-SA-10</t>
        </is>
      </c>
      <c r="G241" s="16" t="inlineStr"/>
      <c r="H241" s="16" t="inlineStr"/>
      <c r="I241" s="16" t="inlineStr"/>
    </row>
    <row r="242">
      <c r="A242" s="13" t="inlineStr">
        <is>
          <t>Super Admin</t>
        </is>
      </c>
      <c r="B242" s="14" t="inlineStr">
        <is>
          <t>TC-SA-11</t>
        </is>
      </c>
      <c r="C242" s="15" t="inlineStr">
        <is>
          <t>P1</t>
        </is>
      </c>
      <c r="D242" s="13" t="inlineStr">
        <is>
          <t>Terbitkan tagihan setelah resto dihapus</t>
        </is>
      </c>
      <c r="E242" s="13" t="inlineStr">
        <is>
          <t>Tidak ada tagihan baru untuk resto itu</t>
        </is>
      </c>
      <c r="F242" s="13" t="inlineStr">
        <is>
          <t>F-SA-11</t>
        </is>
      </c>
      <c r="G242" s="13" t="inlineStr"/>
      <c r="H242" s="13" t="inlineStr"/>
      <c r="I242" s="13" t="inlineStr"/>
    </row>
    <row r="243">
      <c r="A243" s="16" t="inlineStr">
        <is>
          <t>Super Admin</t>
        </is>
      </c>
      <c r="B243" s="17" t="inlineStr">
        <is>
          <t>TC-SA-12</t>
        </is>
      </c>
      <c r="C243" s="18" t="inlineStr">
        <is>
          <t>P1</t>
        </is>
      </c>
      <c r="D243" s="16" t="inlineStr">
        <is>
          <t>Periksa tagihan lama resto terhapus</t>
        </is>
      </c>
      <c r="E243" s="16" t="inlineStr">
        <is>
          <t>Masih ada dan bisa ditelusuri</t>
        </is>
      </c>
      <c r="F243" s="16" t="inlineStr">
        <is>
          <t>F-SA-11</t>
        </is>
      </c>
      <c r="G243" s="16" t="inlineStr"/>
      <c r="H243" s="16" t="inlineStr"/>
      <c r="I243" s="16" t="inlineStr"/>
    </row>
    <row r="244">
      <c r="A244" s="13" t="inlineStr">
        <is>
          <t>Super Admin</t>
        </is>
      </c>
      <c r="B244" s="14" t="inlineStr">
        <is>
          <t>TC-SA-13</t>
        </is>
      </c>
      <c r="C244" s="19" t="inlineStr">
        <is>
          <t>P2</t>
        </is>
      </c>
      <c r="D244" s="13" t="inlineStr">
        <is>
          <t>Nyalakan saklar Tampilkan yang dihapus</t>
        </is>
      </c>
      <c r="E244" s="13" t="inlineStr">
        <is>
          <t>Resto terhapus muncul, hanya dengan tombol Kembalikan</t>
        </is>
      </c>
      <c r="F244" s="13" t="inlineStr">
        <is>
          <t>F-SA-09</t>
        </is>
      </c>
      <c r="G244" s="13" t="inlineStr"/>
      <c r="H244" s="13" t="inlineStr"/>
      <c r="I244" s="13" t="inlineStr"/>
    </row>
    <row r="245">
      <c r="A245" s="16" t="inlineStr">
        <is>
          <t>Super Admin</t>
        </is>
      </c>
      <c r="B245" s="17" t="inlineStr">
        <is>
          <t>TC-SA-14</t>
        </is>
      </c>
      <c r="C245" s="18" t="inlineStr">
        <is>
          <t>P1</t>
        </is>
      </c>
      <c r="D245" s="16" t="inlineStr">
        <is>
          <t>Ketuk Kembalikan</t>
        </is>
      </c>
      <c r="E245" s="16" t="inlineStr">
        <is>
          <t>Kembali ke daftar, tapi belum aktif — harus dinyalakan sendiri</t>
        </is>
      </c>
      <c r="F245" s="16" t="inlineStr">
        <is>
          <t>F-SA-08</t>
        </is>
      </c>
      <c r="G245" s="16" t="inlineStr"/>
      <c r="H245" s="16" t="inlineStr"/>
      <c r="I245" s="16" t="inlineStr"/>
    </row>
    <row r="246">
      <c r="A246" s="13" t="inlineStr">
        <is>
          <t>Super Admin</t>
        </is>
      </c>
      <c r="B246" s="14" t="inlineStr">
        <is>
          <t>TC-SA-15</t>
        </is>
      </c>
      <c r="C246" s="15" t="inlineStr">
        <is>
          <t>P1</t>
        </is>
      </c>
      <c r="D246" s="13" t="inlineStr">
        <is>
          <t>Coba hapus penyewa platform (KaataGo)</t>
        </is>
      </c>
      <c r="E246" s="13" t="inlineStr">
        <is>
          <t>Ditolak</t>
        </is>
      </c>
      <c r="F246" s="13" t="inlineStr">
        <is>
          <t>TSD §7.4</t>
        </is>
      </c>
      <c r="G246" s="13" t="inlineStr"/>
      <c r="H246" s="13" t="inlineStr"/>
      <c r="I246" s="13" t="inlineStr"/>
    </row>
    <row r="247">
      <c r="A247" s="16" t="inlineStr">
        <is>
          <t>Super Admin</t>
        </is>
      </c>
      <c r="B247" s="17" t="inlineStr">
        <is>
          <t>TC-SA-16</t>
        </is>
      </c>
      <c r="C247" s="18" t="inlineStr">
        <is>
          <t>P1</t>
        </is>
      </c>
      <c r="D247" s="16" t="inlineStr">
        <is>
          <t>Coba set_resto_deleted sebagai Owner resto</t>
        </is>
      </c>
      <c r="E247" s="16" t="inlineStr">
        <is>
          <t>Ditolak — hanya Super Admin</t>
        </is>
      </c>
      <c r="F247" s="16" t="inlineStr">
        <is>
          <t>F-SA-07</t>
        </is>
      </c>
      <c r="G247" s="16" t="inlineStr"/>
      <c r="H247" s="16" t="inlineStr"/>
      <c r="I247" s="16" t="inlineStr"/>
    </row>
    <row r="248">
      <c r="A248" s="13" t="inlineStr">
        <is>
          <t>Super Admin</t>
        </is>
      </c>
      <c r="B248" s="14" t="inlineStr">
        <is>
          <t>TC-SA-17</t>
        </is>
      </c>
      <c r="C248" s="19" t="inlineStr">
        <is>
          <t>P2</t>
        </is>
      </c>
      <c r="D248" s="13" t="inlineStr">
        <is>
          <t>Periksa baris resto terhapus di database</t>
        </is>
      </c>
      <c r="E248" s="13" t="inlineStr">
        <is>
          <t>deleted_by dan deleted_at terisi</t>
        </is>
      </c>
      <c r="F248" s="13" t="inlineStr">
        <is>
          <t>F-SA-12</t>
        </is>
      </c>
      <c r="G248" s="13" t="inlineStr"/>
      <c r="H248" s="13" t="inlineStr"/>
      <c r="I248" s="13" t="inlineStr"/>
    </row>
    <row r="249">
      <c r="A249" s="16" t="inlineStr">
        <is>
          <t>Pembaruan Aplikasi</t>
        </is>
      </c>
      <c r="B249" s="17" t="inlineStr">
        <is>
          <t>TC-UP-01</t>
        </is>
      </c>
      <c r="C249" s="20" t="inlineStr">
        <is>
          <t>P2</t>
        </is>
      </c>
      <c r="D249" s="16" t="inlineStr">
        <is>
          <t>Buka pengumuman versi → Unduh Versi Terbaru</t>
        </is>
      </c>
      <c r="E249" s="16" t="inlineStr">
        <is>
          <t>Unduhan mulai di dalam aplikasi, tidak membuka peramban</t>
        </is>
      </c>
      <c r="F249" s="16" t="inlineStr">
        <is>
          <t>F-UP-01, F-UP-02</t>
        </is>
      </c>
      <c r="G249" s="16" t="inlineStr"/>
      <c r="H249" s="16" t="inlineStr"/>
      <c r="I249" s="16" t="inlineStr"/>
    </row>
    <row r="250">
      <c r="A250" s="13" t="inlineStr">
        <is>
          <t>Pembaruan Aplikasi</t>
        </is>
      </c>
      <c r="B250" s="14" t="inlineStr">
        <is>
          <t>TC-UP-02</t>
        </is>
      </c>
      <c r="C250" s="19" t="inlineStr">
        <is>
          <t>P2</t>
        </is>
      </c>
      <c r="D250" s="13" t="inlineStr">
        <is>
          <t>Perhatikan bar notifikasi HP</t>
        </is>
      </c>
      <c r="E250" s="13" t="inlineStr">
        <is>
          <t>Kemajuannya tampil berikut persennya</t>
        </is>
      </c>
      <c r="F250" s="13" t="inlineStr">
        <is>
          <t>F-UP-03</t>
        </is>
      </c>
      <c r="G250" s="13" t="inlineStr"/>
      <c r="H250" s="13" t="inlineStr"/>
      <c r="I250" s="13" t="inlineStr"/>
    </row>
    <row r="251">
      <c r="A251" s="16" t="inlineStr">
        <is>
          <t>Pembaruan Aplikasi</t>
        </is>
      </c>
      <c r="B251" s="17" t="inlineStr">
        <is>
          <t>TC-UP-03</t>
        </is>
      </c>
      <c r="C251" s="20" t="inlineStr">
        <is>
          <t>P2</t>
        </is>
      </c>
      <c r="D251" s="16" t="inlineStr">
        <is>
          <t>Kunci HP saat unduhan berjalan, tunggu, buka lagi</t>
        </is>
      </c>
      <c r="E251" s="16" t="inlineStr">
        <is>
          <t>Unduhannya lanjut, tidak mengulang dari nol</t>
        </is>
      </c>
      <c r="F251" s="16" t="inlineStr">
        <is>
          <t>F-UP-04</t>
        </is>
      </c>
      <c r="G251" s="16" t="inlineStr"/>
      <c r="H251" s="16" t="inlineStr"/>
      <c r="I251" s="16" t="inlineStr"/>
    </row>
    <row r="252">
      <c r="A252" s="13" t="inlineStr">
        <is>
          <t>Pembaruan Aplikasi</t>
        </is>
      </c>
      <c r="B252" s="14" t="inlineStr">
        <is>
          <t>TC-UP-04</t>
        </is>
      </c>
      <c r="C252" s="19" t="inlineStr">
        <is>
          <t>P2</t>
        </is>
      </c>
      <c r="D252" s="13" t="inlineStr">
        <is>
          <t>Tekan tombol unduh lagi saat unduhan berjalan</t>
        </is>
      </c>
      <c r="E252" s="13" t="inlineStr">
        <is>
          <t>Muncul pilihan Batalkan atau Lanjutkan</t>
        </is>
      </c>
      <c r="F252" s="13" t="inlineStr">
        <is>
          <t>F-UP-05, F-IN-18</t>
        </is>
      </c>
      <c r="G252" s="13" t="inlineStr"/>
      <c r="H252" s="13" t="inlineStr"/>
      <c r="I252" s="13" t="inlineStr"/>
    </row>
    <row r="253">
      <c r="A253" s="16" t="inlineStr">
        <is>
          <t>Pembaruan Aplikasi</t>
        </is>
      </c>
      <c r="B253" s="17" t="inlineStr">
        <is>
          <t>TC-UP-05</t>
        </is>
      </c>
      <c r="C253" s="20" t="inlineStr">
        <is>
          <t>P2</t>
        </is>
      </c>
      <c r="D253" s="16" t="inlineStr">
        <is>
          <t>Pilih Batalkan</t>
        </is>
      </c>
      <c r="E253" s="16" t="inlineStr">
        <is>
          <t>Unduhan berhenti; tidak ditampilkan sebagai galat</t>
        </is>
      </c>
      <c r="F253" s="16" t="inlineStr">
        <is>
          <t>F-IN-19</t>
        </is>
      </c>
      <c r="G253" s="16" t="inlineStr"/>
      <c r="H253" s="16" t="inlineStr"/>
      <c r="I253" s="16" t="inlineStr"/>
    </row>
    <row r="254">
      <c r="A254" s="13" t="inlineStr">
        <is>
          <t>Pembaruan Aplikasi</t>
        </is>
      </c>
      <c r="B254" s="14" t="inlineStr">
        <is>
          <t>TC-UP-06</t>
        </is>
      </c>
      <c r="C254" s="19" t="inlineStr">
        <is>
          <t>P2</t>
        </is>
      </c>
      <c r="D254" s="13" t="inlineStr">
        <is>
          <t>Biarkan unduhan selesai</t>
        </is>
      </c>
      <c r="E254" s="13" t="inlineStr">
        <is>
          <t>Notifikasi "ketuk untuk memasang"; pemasang Android terbuka</t>
        </is>
      </c>
      <c r="F254" s="13" t="inlineStr">
        <is>
          <t>F-UP-06, F-IN-17</t>
        </is>
      </c>
      <c r="G254" s="13" t="inlineStr"/>
      <c r="H254" s="13" t="inlineStr"/>
      <c r="I254" s="13" t="inlineStr"/>
    </row>
    <row r="255">
      <c r="A255" s="16" t="inlineStr">
        <is>
          <t>Pembaruan Aplikasi</t>
        </is>
      </c>
      <c r="B255" s="17" t="inlineStr">
        <is>
          <t>TC-UP-07</t>
        </is>
      </c>
      <c r="C255" s="20" t="inlineStr">
        <is>
          <t>P2</t>
        </is>
      </c>
      <c r="D255" s="16" t="inlineStr">
        <is>
          <t>Matikan data seluler di tengah unduhan</t>
        </is>
      </c>
      <c r="E255" s="16" t="inlineStr">
        <is>
          <t>Pesannya menyebut masalah koneksi, satu kalimat, tanpa isi galat mentah</t>
        </is>
      </c>
      <c r="F255" s="16" t="inlineStr">
        <is>
          <t>F-UP-07, F-IN-19</t>
        </is>
      </c>
      <c r="G255" s="16" t="inlineStr"/>
      <c r="H255" s="16" t="inlineStr"/>
      <c r="I255" s="16" t="inlineStr"/>
    </row>
    <row r="256">
      <c r="A256" s="13" t="inlineStr">
        <is>
          <t>Pembaruan Aplikasi</t>
        </is>
      </c>
      <c r="B256" s="14" t="inlineStr">
        <is>
          <t>TC-UP-08</t>
        </is>
      </c>
      <c r="C256" s="21" t="inlineStr">
        <is>
          <t>P3</t>
        </is>
      </c>
      <c r="D256" s="13" t="inlineStr">
        <is>
          <t>Penuhi penyimpanan HP, lalu unduh</t>
        </is>
      </c>
      <c r="E256" s="13" t="inlineStr">
        <is>
          <t>Pesannya menyebut penyimpanan penuh — dibedakan dari masalah koneksi</t>
        </is>
      </c>
      <c r="F256" s="13" t="inlineStr">
        <is>
          <t>F-UP-07</t>
        </is>
      </c>
      <c r="G256" s="13" t="inlineStr"/>
      <c r="H256" s="13" t="inlineStr"/>
      <c r="I256" s="13" t="inlineStr"/>
    </row>
    <row r="257">
      <c r="A257" s="16" t="inlineStr">
        <is>
          <t>Pembaruan Aplikasi</t>
        </is>
      </c>
      <c r="B257" s="17" t="inlineStr">
        <is>
          <t>TC-UP-09</t>
        </is>
      </c>
      <c r="C257" s="22" t="inlineStr">
        <is>
          <t>P3</t>
        </is>
      </c>
      <c r="D257" s="16" t="inlineStr">
        <is>
          <t>Pakai jalur cadangan lewat peramban</t>
        </is>
      </c>
      <c r="E257" s="16" t="inlineStr">
        <is>
          <t>Berkasnya terunduh</t>
        </is>
      </c>
      <c r="F257" s="16" t="inlineStr">
        <is>
          <t>F-IN-06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TC-BL-01</t>
        </is>
      </c>
      <c r="C258" s="19" t="inlineStr">
        <is>
          <t>P2</t>
        </is>
      </c>
      <c r="D258" s="13" t="inlineStr">
        <is>
          <t>Super Admin → Billing Resto → atur harga dan tanggal untuk sebuah resto</t>
        </is>
      </c>
      <c r="E258" s="13" t="inlineStr">
        <is>
          <t>Tersimpan; kartu restonya menampilkan harga, tanggal, dan tenggangnya</t>
        </is>
      </c>
      <c r="F258" s="13" t="inlineStr">
        <is>
          <t>F-BL-01, F-BL-02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TC-BL-02</t>
        </is>
      </c>
      <c r="C259" s="20" t="inlineStr">
        <is>
          <t>P2</t>
        </is>
      </c>
      <c r="D259" s="16" t="inlineStr">
        <is>
          <t>Buat resto baru, buka Billing Resto</t>
        </is>
      </c>
      <c r="E259" s="16" t="inlineStr">
        <is>
          <t>Sudah punya barisnya sendiri, berstatus Gratis</t>
        </is>
      </c>
      <c r="F259" s="16" t="inlineStr">
        <is>
          <t>F-BL-06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TC-BL-03</t>
        </is>
      </c>
      <c r="C260" s="15" t="inlineStr">
        <is>
          <t>P1</t>
        </is>
      </c>
      <c r="D260" s="13" t="inlineStr">
        <is>
          <t>Setel harga Rp 0, lewatkan tanggal jatuh tempo jauh</t>
        </is>
      </c>
      <c r="E260" s="13" t="inlineStr">
        <is>
          <t>Tidak pernah terbit tagihan, tidak pernah terkunci</t>
        </is>
      </c>
      <c r="F260" s="13" t="inlineStr">
        <is>
          <t>F-BL-04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TC-BL-04</t>
        </is>
      </c>
      <c r="C261" s="18" t="inlineStr">
        <is>
          <t>P1</t>
        </is>
      </c>
      <c r="D261" s="16" t="inlineStr">
        <is>
          <t>Matikan saklar langganan pada resto berbayar yang menunggak</t>
        </is>
      </c>
      <c r="E261" s="16" t="inlineStr">
        <is>
          <t>Tidak terkunci</t>
        </is>
      </c>
      <c r="F261" s="16" t="inlineStr">
        <is>
          <t>F-BL-05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TC-BL-05</t>
        </is>
      </c>
      <c r="C262" s="19" t="inlineStr">
        <is>
          <t>P2</t>
        </is>
      </c>
      <c r="D262" s="13" t="inlineStr">
        <is>
          <t>Coba pilih tanggal tagihan 29, 30, atau 31</t>
        </is>
      </c>
      <c r="E262" s="13" t="inlineStr">
        <is>
          <t>Tidak tersedia di pilihan — hanya 1 sampai 28</t>
        </is>
      </c>
      <c r="F262" s="13" t="inlineStr">
        <is>
          <t>F-BL-02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TC-BL-06</t>
        </is>
      </c>
      <c r="C263" s="20" t="inlineStr">
        <is>
          <t>P2</t>
        </is>
      </c>
      <c r="D263" s="16" t="inlineStr">
        <is>
          <t>Ketuk Terbitkan tagihan sekarang dua kali beruntun</t>
        </is>
      </c>
      <c r="E263" s="16" t="inlineStr">
        <is>
          <t>Tagihan tetap satu untuk periode itu</t>
        </is>
      </c>
      <c r="F263" s="16" t="inlineStr">
        <is>
          <t>F-BL-08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TC-BL-07</t>
        </is>
      </c>
      <c r="C264" s="15" t="inlineStr">
        <is>
          <t>P1</t>
        </is>
      </c>
      <c r="D264" s="13" t="inlineStr">
        <is>
          <t>Setel jatuh tempo 3 hari lagi, buka aplikasi sebagai Kasir</t>
        </is>
      </c>
      <c r="E264" s="13" t="inlineStr">
        <is>
          <t>Pita pengingat tampil di atas layar; isi layarnya tetap bisa dipakai</t>
        </is>
      </c>
      <c r="F264" s="13" t="inlineStr">
        <is>
          <t>F-BL-09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TC-BL-08</t>
        </is>
      </c>
      <c r="C265" s="20" t="inlineStr">
        <is>
          <t>P2</t>
        </is>
      </c>
      <c r="D265" s="16" t="inlineStr">
        <is>
          <t>Setel jatuh tempo 4 hari lagi</t>
        </is>
      </c>
      <c r="E265" s="16" t="inlineStr">
        <is>
          <t>Pita belum tampil</t>
        </is>
      </c>
      <c r="F265" s="16" t="inlineStr">
        <is>
          <t>F-BL-09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TC-BL-09</t>
        </is>
      </c>
      <c r="C266" s="15" t="inlineStr">
        <is>
          <t>P1</t>
        </is>
      </c>
      <c r="D266" s="13" t="inlineStr">
        <is>
          <t>Lewati jatuh tempo, masih dalam tenggang</t>
        </is>
      </c>
      <c r="E266" s="13" t="inlineStr">
        <is>
          <t>Pita berubah merah; aplikasi belum terkunci</t>
        </is>
      </c>
      <c r="F266" s="13" t="inlineStr">
        <is>
          <t>F-BL-03, F-BL-10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TC-BL-10</t>
        </is>
      </c>
      <c r="C267" s="18" t="inlineStr">
        <is>
          <t>P1</t>
        </is>
      </c>
      <c r="D267" s="16" t="inlineStr">
        <is>
          <t>Lewati tenggang, tagihan belum dibayar</t>
        </is>
      </c>
      <c r="E267" s="16" t="inlineStr">
        <is>
          <t>Seluruh layar diganti halaman Aplikasi Terkunci Sementara</t>
        </is>
      </c>
      <c r="F267" s="16" t="inlineStr">
        <is>
          <t>F-BL-15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TC-BL-11</t>
        </is>
      </c>
      <c r="C268" s="15" t="inlineStr">
        <is>
          <t>P1</t>
        </is>
      </c>
      <c r="D268" s="13" t="inlineStr">
        <is>
          <t>Pada keadaan terkunci, coba buat pesanan lewat API langsung</t>
        </is>
      </c>
      <c r="E268" s="13" t="inlineStr">
        <is>
          <t>Ditolak database — bukan hanya layarnya yang menutup</t>
        </is>
      </c>
      <c r="F268" s="13" t="inlineStr">
        <is>
          <t>F-BL-18, TSD §7.3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TC-BL-12</t>
        </is>
      </c>
      <c r="C269" s="18" t="inlineStr">
        <is>
          <t>P1</t>
        </is>
      </c>
      <c r="D269" s="16" t="inlineStr">
        <is>
          <t>Pada keadaan terkunci, ketuk Lihat &amp; Bayar Tagihan</t>
        </is>
      </c>
      <c r="E269" s="16" t="inlineStr">
        <is>
          <t>Layar tagihan terbuka dan bisa dipakai</t>
        </is>
      </c>
      <c r="F269" s="16" t="inlineStr">
        <is>
          <t>F-BL-16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TC-BL-13</t>
        </is>
      </c>
      <c r="C270" s="15" t="inlineStr">
        <is>
          <t>P1</t>
        </is>
      </c>
      <c r="D270" s="13" t="inlineStr">
        <is>
          <t>Pada keadaan terkunci, ketuk Keluar</t>
        </is>
      </c>
      <c r="E270" s="13" t="inlineStr">
        <is>
          <t>Berhasil keluar akun</t>
        </is>
      </c>
      <c r="F270" s="13" t="inlineStr">
        <is>
          <t>F-BL-16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TC-BL-14</t>
        </is>
      </c>
      <c r="C271" s="18" t="inlineStr">
        <is>
          <t>P1</t>
        </is>
      </c>
      <c r="D271" s="16" t="inlineStr">
        <is>
          <t>Ketuk Buat Virtual Account → pilih BCA</t>
        </is>
      </c>
      <c r="E271" s="16" t="inlineStr">
        <is>
          <t>Nomor VA tampil berikut nominal dan masa berlakunya</t>
        </is>
      </c>
      <c r="F271" s="16" t="inlineStr">
        <is>
          <t>F-BL-11, 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TC-BL-14b</t>
        </is>
      </c>
      <c r="C272" s="15" t="inlineStr">
        <is>
          <t>P1</t>
        </is>
      </c>
      <c r="D272" s="13" t="inlineStr">
        <is>
          <t>Tutup layar, buka lagi, ketuk lagi</t>
        </is>
      </c>
      <c r="E272" s="13" t="inlineStr">
        <is>
          <t>Nomor VA sama, tidak diterbitkan yang baru</t>
        </is>
      </c>
      <c r="F272" s="13" t="inlineStr">
        <is>
          <t>F-BL-23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TC-BL-14c</t>
        </is>
      </c>
      <c r="C273" s="18" t="inlineStr">
        <is>
          <t>P1</t>
        </is>
      </c>
      <c r="D273" s="16" t="inlineStr">
        <is>
          <t>Transfer tepat sesuai nominal ke VA itu</t>
        </is>
      </c>
      <c r="E273" s="16" t="inlineStr">
        <is>
          <t>Tagihan lunas sendiri dalam hitungan detik; kunci terbuka tanpa mengirim bukti</t>
        </is>
      </c>
      <c r="F273" s="16" t="inlineStr">
        <is>
          <t>F-BL-22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TC-BL-14d</t>
        </is>
      </c>
      <c r="C274" s="15" t="inlineStr">
        <is>
          <t>P1</t>
        </is>
      </c>
      <c r="D274" s="13" t="inlineStr">
        <is>
          <t>Transfer kurang dari nominal</t>
        </is>
      </c>
      <c r="E274" s="13" t="inlineStr">
        <is>
          <t>Tidak melunasi; tagihan tetap terbuka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TC-BL-14e</t>
        </is>
      </c>
      <c r="C275" s="20" t="inlineStr">
        <is>
          <t>P2</t>
        </is>
      </c>
      <c r="D275" s="16" t="inlineStr">
        <is>
          <t>Ketuk Ganti Bank → pilih BNI</t>
        </is>
      </c>
      <c r="E275" s="16" t="inlineStr">
        <is>
          <t>Nomor VA baru untuk bank itu</t>
        </is>
      </c>
      <c r="F275" s="16" t="inlineStr">
        <is>
          <t>F-BL-19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TC-BL-14f</t>
        </is>
      </c>
      <c r="C276" s="15" t="inlineStr">
        <is>
          <t>P1</t>
        </is>
      </c>
      <c r="D276" s="13" t="inlineStr">
        <is>
          <t>Periksa rekening tujuan dana VA di Dashboard Xendit</t>
        </is>
      </c>
      <c r="E276" s="13" t="inlineStr">
        <is>
          <t>Masuk ke akun KaataGo, bukan sub-akun resto</t>
        </is>
      </c>
      <c r="F276" s="13" t="inlineStr">
        <is>
          <t>F-BL-11, TSD §7.3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TC-BL-14g</t>
        </is>
      </c>
      <c r="C277" s="18" t="inlineStr">
        <is>
          <t>P1</t>
        </is>
      </c>
      <c r="D277" s="16" t="inlineStr">
        <is>
          <t>Kirim callback palsu ke xendit-billing-webhook tanpa token</t>
        </is>
      </c>
      <c r="E277" s="16" t="inlineStr">
        <is>
          <t>Ditolak 401; tagihan tidak berubah</t>
        </is>
      </c>
      <c r="F277" s="16" t="inlineStr">
        <is>
          <t>TSD §7.3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TC-BL-14h</t>
        </is>
      </c>
      <c r="C278" s="19" t="inlineStr">
        <is>
          <t>P2</t>
        </is>
      </c>
      <c r="D278" s="13" t="inlineStr">
        <is>
          <t>Xendit mengirim callback yang sama dua kali</t>
        </is>
      </c>
      <c r="E278" s="13" t="inlineStr">
        <is>
          <t>Tagihan tetap lunas sekali; catatan pelunasnya tidak berubah</t>
        </is>
      </c>
      <c r="F278" s="13" t="inlineStr">
        <is>
          <t>TSD §7.3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TC-BL-14i</t>
        </is>
      </c>
      <c r="C279" s="20" t="inlineStr">
        <is>
          <t>P2</t>
        </is>
      </c>
      <c r="D279" s="16" t="inlineStr">
        <is>
          <t>Unggah bukti transfer manual lewat jalur cadangan</t>
        </is>
      </c>
      <c r="E279" s="16" t="inlineStr">
        <is>
          <t>Status jadi Menunggu Verifikasi; aplikasi terbuka lagi</t>
        </is>
      </c>
      <c r="F279" s="16" t="inlineStr">
        <is>
          <t>F-BL-24, F-BL-12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TC-BL-26</t>
        </is>
      </c>
      <c r="C280" s="19" t="inlineStr">
        <is>
          <t>P2</t>
        </is>
      </c>
      <c r="D280" s="13" t="inlineStr">
        <is>
          <t>Dengan kunci uji Xendit, buka tagihan ber-VA</t>
        </is>
      </c>
      <c r="E280" s="13" t="inlineStr">
        <is>
          <t>Tombol Simulasikan Pembayaran muncul</t>
        </is>
      </c>
      <c r="F280" s="13" t="inlineStr">
        <is>
          <t>TSD §7.3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TC-BL-27</t>
        </is>
      </c>
      <c r="C281" s="18" t="inlineStr">
        <is>
          <t>P1</t>
        </is>
      </c>
      <c r="D281" s="16" t="inlineStr">
        <is>
          <t>Ketuk Simulasikan Pembayaran</t>
        </is>
      </c>
      <c r="E281" s="16" t="inlineStr">
        <is>
          <t>Tagihan jadi Lunas sendiri lewat webhook; kunci resto terbuka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TC-BL-28</t>
        </is>
      </c>
      <c r="C282" s="15" t="inlineStr">
        <is>
          <t>P1</t>
        </is>
      </c>
      <c r="D282" s="13" t="inlineStr">
        <is>
          <t>Pasang kunci produksi Xendit, buka layar yang sama</t>
        </is>
      </c>
      <c r="E282" s="13" t="inlineStr">
        <is>
          <t>Tombol simulasi hilang sendiri</t>
        </is>
      </c>
      <c r="F282" s="13" t="inlineStr">
        <is>
          <t>TSD §7.3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TC-BL-29</t>
        </is>
      </c>
      <c r="C283" s="18" t="inlineStr">
        <is>
          <t>P1</t>
        </is>
      </c>
      <c r="D283" s="16" t="inlineStr">
        <is>
          <t>Buat diskon langganan setelah tagihan terbit → ketuk segarkan di Super Admin</t>
        </is>
      </c>
      <c r="E283" s="16" t="inlineStr">
        <is>
          <t>Nominal tagihan turun; nomor VA lama dibuang</t>
        </is>
      </c>
      <c r="F283" s="16" t="inlineStr">
        <is>
          <t>F-BL-05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TC-BL-30</t>
        </is>
      </c>
      <c r="C284" s="15" t="inlineStr">
        <is>
          <t>P1</t>
        </is>
      </c>
      <c r="D284" s="13" t="inlineStr">
        <is>
          <t>Buat VA baru setelah nominalnya berubah</t>
        </is>
      </c>
      <c r="E284" s="13" t="inlineStr">
        <is>
          <t>Nominalnya sesuai yang sudah dipotong</t>
        </is>
      </c>
      <c r="F284" s="13" t="inlineStr">
        <is>
          <t>F-BL-20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TC-BL-31</t>
        </is>
      </c>
      <c r="C285" s="18" t="inlineStr">
        <is>
          <t>P1</t>
        </is>
      </c>
      <c r="D285" s="16" t="inlineStr">
        <is>
          <t>Set tanggal tagih 31, lihat jatuh tempo di April</t>
        </is>
      </c>
      <c r="E285" s="16" t="inlineStr">
        <is>
          <t>30 April</t>
        </is>
      </c>
      <c r="F285" s="16" t="inlineStr">
        <is>
          <t>F-BL-19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TC-BL-32</t>
        </is>
      </c>
      <c r="C286" s="15" t="inlineStr">
        <is>
          <t>P1</t>
        </is>
      </c>
      <c r="D286" s="13" t="inlineStr">
        <is>
          <t>Set tanggal tagih 31, lihat jatuh tempo di Februari 2026</t>
        </is>
      </c>
      <c r="E286" s="13" t="inlineStr">
        <is>
          <t>28 Februari</t>
        </is>
      </c>
      <c r="F286" s="13" t="inlineStr">
        <is>
          <t>F-BL-19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TC-BL-33</t>
        </is>
      </c>
      <c r="C287" s="18" t="inlineStr">
        <is>
          <t>P1</t>
        </is>
      </c>
      <c r="D287" s="16" t="inlineStr">
        <is>
          <t>Set tanggal tagih 31, lihat jatuh tempo di Februari 2028</t>
        </is>
      </c>
      <c r="E287" s="16" t="inlineStr">
        <is>
          <t>29 Februari — tahun kabisat</t>
        </is>
      </c>
      <c r="F287" s="16" t="inlineStr">
        <is>
          <t>F-BL-19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TC-BL-34</t>
        </is>
      </c>
      <c r="C288" s="15" t="inlineStr">
        <is>
          <t>P1</t>
        </is>
      </c>
      <c r="D288" s="13" t="inlineStr">
        <is>
          <t>Set tanggal tagih 29, Februari 2026</t>
        </is>
      </c>
      <c r="E288" s="13" t="inlineStr">
        <is>
          <t>28 Februari, bukan gagal terbit</t>
        </is>
      </c>
      <c r="F288" s="13" t="inlineStr">
        <is>
          <t>F-BL-19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TC-BL-35</t>
        </is>
      </c>
      <c r="C289" s="20" t="inlineStr">
        <is>
          <t>P2</t>
        </is>
      </c>
      <c r="D289" s="16" t="inlineStr">
        <is>
          <t>Buka dropdown Tanggal Tagihan di Super Admin</t>
        </is>
      </c>
      <c r="E289" s="16" t="inlineStr">
        <is>
          <t>Tersedia sampai 31; di atas 28 diberi keterangan akhir bulan</t>
        </is>
      </c>
      <c r="F289" s="16" t="inlineStr">
        <is>
          <t>F-BL-19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TC-BL-36</t>
        </is>
      </c>
      <c r="C290" s="15" t="inlineStr">
        <is>
          <t>P1</t>
        </is>
      </c>
      <c r="D290" s="13" t="inlineStr">
        <is>
          <t>Lunasi tagihan 18 Agustus, lihat kartu paket</t>
        </is>
      </c>
      <c r="E290" s="13" t="inlineStr">
        <is>
          <t>Menyebut tagihan berikutnya 18 September</t>
        </is>
      </c>
      <c r="F290" s="13" t="inlineStr">
        <is>
          <t>F-BL-20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TC-BL-37</t>
        </is>
      </c>
      <c r="C291" s="18" t="inlineStr">
        <is>
          <t>P1</t>
        </is>
      </c>
      <c r="D291" s="16" t="inlineStr">
        <is>
          <t>Ada tagihan belum lunas, lihat kartu paket</t>
        </is>
      </c>
      <c r="E291" s="16" t="inlineStr">
        <is>
          <t>Menyebut "setelah tagihan berjalan lunas" lebih dulu</t>
        </is>
      </c>
      <c r="F291" s="16" t="inlineStr">
        <is>
          <t>F-BL-20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TC-BL-38</t>
        </is>
      </c>
      <c r="C292" s="19" t="inlineStr">
        <is>
          <t>P2</t>
        </is>
      </c>
      <c r="D292" s="13" t="inlineStr">
        <is>
          <t>Resto gratis (harga 0)</t>
        </is>
      </c>
      <c r="E292" s="13" t="inlineStr">
        <is>
          <t>Tidak menampilkan tanggal berikutnya</t>
        </is>
      </c>
      <c r="F292" s="13" t="inlineStr">
        <is>
          <t>F-BL-20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TC-BL-39</t>
        </is>
      </c>
      <c r="C293" s="18" t="inlineStr">
        <is>
          <t>P1</t>
        </is>
      </c>
      <c r="D293" s="16" t="inlineStr">
        <is>
          <t>Lihat tagihan yang sudah lunas</t>
        </is>
      </c>
      <c r="E293" s="16" t="inlineStr">
        <is>
          <t>Nomor Virtual Account tidak tampil</t>
        </is>
      </c>
      <c r="F293" s="16" t="inlineStr">
        <is>
          <t>F-BL-21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TC-BL-40</t>
        </is>
      </c>
      <c r="C294" s="15" t="inlineStr">
        <is>
          <t>P1</t>
        </is>
      </c>
      <c r="D294" s="13" t="inlineStr">
        <is>
          <t>Lihat tagihan yang menunggu verifikasi</t>
        </is>
      </c>
      <c r="E294" s="13" t="inlineStr">
        <is>
          <t>VA masih tampil</t>
        </is>
      </c>
      <c r="F294" s="13" t="inlineStr">
        <is>
          <t>F-BL-21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TC-BL-41</t>
        </is>
      </c>
      <c r="C295" s="18" t="inlineStr">
        <is>
          <t>P1</t>
        </is>
      </c>
      <c r="D295" s="16" t="inlineStr">
        <is>
          <t>Ketuk Unduh Invoice PDF pada tagihan lunas</t>
        </is>
      </c>
      <c r="E295" s="16" t="inlineStr">
        <is>
          <t>PDF terbuka, bertanda LUNAS, tanpa nomor VA</t>
        </is>
      </c>
      <c r="F295" s="16" t="inlineStr">
        <is>
          <t>F-BL-22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TC-BL-42</t>
        </is>
      </c>
      <c r="C296" s="15" t="inlineStr">
        <is>
          <t>P1</t>
        </is>
      </c>
      <c r="D296" s="13" t="inlineStr">
        <is>
          <t>Periksa PDF tagihan berdiskon</t>
        </is>
      </c>
      <c r="E296" s="13" t="inlineStr">
        <is>
          <t>Harga daftar, nama potongan, dan total dibayar tertulis terpisah</t>
        </is>
      </c>
      <c r="F296" s="13" t="inlineStr">
        <is>
          <t>F-BL-22</t>
        </is>
      </c>
      <c r="G296" s="13" t="inlineStr"/>
      <c r="H296" s="13" t="inlineStr"/>
      <c r="I296" s="13" t="inlineStr"/>
    </row>
    <row r="297">
      <c r="A297" s="16" t="inlineStr">
        <is>
          <t>## 19b. Langganan &amp; Tagihan Resto</t>
        </is>
      </c>
      <c r="B297" s="17" t="inlineStr">
        <is>
          <t>TC-BL-43</t>
        </is>
      </c>
      <c r="C297" s="20" t="inlineStr">
        <is>
          <t>P2</t>
        </is>
      </c>
      <c r="D297" s="16" t="inlineStr">
        <is>
          <t>Cari tombol PDF pada tagihan belum lunas</t>
        </is>
      </c>
      <c r="E297" s="16" t="inlineStr">
        <is>
          <t>Tidak ada</t>
        </is>
      </c>
      <c r="F297" s="16" t="inlineStr">
        <is>
          <t>F-BL-22</t>
        </is>
      </c>
      <c r="G297" s="16" t="inlineStr"/>
      <c r="H297" s="16" t="inlineStr"/>
      <c r="I297" s="16" t="inlineStr"/>
    </row>
    <row r="298">
      <c r="A298" s="13" t="inlineStr">
        <is>
          <t>## 19b. Langganan &amp; Tagihan Resto</t>
        </is>
      </c>
      <c r="B298" s="14" t="inlineStr">
        <is>
          <t>TC-BL-44</t>
        </is>
      </c>
      <c r="C298" s="15" t="inlineStr">
        <is>
          <t>P1</t>
        </is>
      </c>
      <c r="D298" s="13" t="inlineStr">
        <is>
          <t>Masuk sebagai Finance, buka beranda</t>
        </is>
      </c>
      <c r="E298" s="13" t="inlineStr">
        <is>
          <t>Ada menu Tagihan Langganan</t>
        </is>
      </c>
      <c r="F298" s="13" t="inlineStr">
        <is>
          <t>F-BL-23</t>
        </is>
      </c>
      <c r="G298" s="13" t="inlineStr"/>
      <c r="H298" s="13" t="inlineStr"/>
      <c r="I298" s="13" t="inlineStr"/>
    </row>
    <row r="299">
      <c r="A299" s="16" t="inlineStr">
        <is>
          <t>## 19b. Langganan &amp; Tagihan Resto</t>
        </is>
      </c>
      <c r="B299" s="17" t="inlineStr">
        <is>
          <t>TC-BL-45</t>
        </is>
      </c>
      <c r="C299" s="18" t="inlineStr">
        <is>
          <t>P1</t>
        </is>
      </c>
      <c r="D299" s="16" t="inlineStr">
        <is>
          <t>Finance mengunggah bukti bayar</t>
        </is>
      </c>
      <c r="E299" s="16" t="inlineStr">
        <is>
          <t>Diterima — RPC mengizinkan peran finance</t>
        </is>
      </c>
      <c r="F299" s="16" t="inlineStr">
        <is>
          <t>F-BL-23</t>
        </is>
      </c>
      <c r="G299" s="16" t="inlineStr"/>
      <c r="H299" s="16" t="inlineStr"/>
      <c r="I299" s="16" t="inlineStr"/>
    </row>
    <row r="300">
      <c r="A300" s="13" t="inlineStr">
        <is>
          <t>## 19b. Langganan &amp; Tagihan Resto</t>
        </is>
      </c>
      <c r="B300" s="14" t="inlineStr">
        <is>
          <t>TC-BL-46</t>
        </is>
      </c>
      <c r="C300" s="19" t="inlineStr">
        <is>
          <t>P2</t>
        </is>
      </c>
      <c r="D300" s="13" t="inlineStr">
        <is>
          <t>Finance membuat Virtual Account</t>
        </is>
      </c>
      <c r="E300" s="13" t="inlineStr">
        <is>
          <t>Berhasil, sama seperti Owner</t>
        </is>
      </c>
      <c r="F300" s="13" t="inlineStr">
        <is>
          <t>F-BL-23</t>
        </is>
      </c>
      <c r="G300" s="13" t="inlineStr"/>
      <c r="H300" s="13" t="inlineStr"/>
      <c r="I300" s="13" t="inlineStr"/>
    </row>
    <row r="301">
      <c r="A301" s="16" t="inlineStr">
        <is>
          <t>## 19b. Langganan &amp; Tagihan Resto</t>
        </is>
      </c>
      <c r="B301" s="17" t="inlineStr">
        <is>
          <t>TC-BL-47</t>
        </is>
      </c>
      <c r="C301" s="20" t="inlineStr">
        <is>
          <t>P2</t>
        </is>
      </c>
      <c r="D301" s="16" t="inlineStr">
        <is>
          <t>Kasir/Chef mencari menu itu</t>
        </is>
      </c>
      <c r="E301" s="16" t="inlineStr">
        <is>
          <t>Tidak ada</t>
        </is>
      </c>
      <c r="F301" s="16" t="inlineStr">
        <is>
          <t>F-BL-23</t>
        </is>
      </c>
      <c r="G301" s="16" t="inlineStr"/>
      <c r="H301" s="16" t="inlineStr"/>
      <c r="I301" s="16" t="inlineStr"/>
    </row>
    <row r="302">
      <c r="A302" s="13" t="inlineStr">
        <is>
          <t>## 19b. Langganan &amp; Tagihan Resto</t>
        </is>
      </c>
      <c r="B302" s="14" t="inlineStr">
        <is>
          <t>TC-BL-15</t>
        </is>
      </c>
      <c r="C302" s="15" t="inlineStr">
        <is>
          <t>P1</t>
        </is>
      </c>
      <c r="D302" s="13" t="inlineStr">
        <is>
          <t>Coba kirim bukti tanpa melampirkan foto</t>
        </is>
      </c>
      <c r="E302" s="13" t="inlineStr">
        <is>
          <t>Tombol Kirim mati</t>
        </is>
      </c>
      <c r="F302" s="13" t="inlineStr">
        <is>
          <t>F-BL-11</t>
        </is>
      </c>
      <c r="G302" s="13" t="inlineStr"/>
      <c r="H302" s="13" t="inlineStr"/>
      <c r="I302" s="13" t="inlineStr"/>
    </row>
    <row r="303">
      <c r="A303" s="16" t="inlineStr">
        <is>
          <t>## 19b. Langganan &amp; Tagihan Resto</t>
        </is>
      </c>
      <c r="B303" s="17" t="inlineStr">
        <is>
          <t>TC-BL-16</t>
        </is>
      </c>
      <c r="C303" s="18" t="inlineStr">
        <is>
          <t>P1</t>
        </is>
      </c>
      <c r="D303" s="16" t="inlineStr">
        <is>
          <t>Super Admin → tab Tagihan → Terima</t>
        </is>
      </c>
      <c r="E303" s="16" t="inlineStr">
        <is>
          <t>Status jadi Lunas; resto tetap terbuka; pita hilang</t>
        </is>
      </c>
      <c r="F303" s="16" t="inlineStr">
        <is>
          <t>F-BL-13</t>
        </is>
      </c>
      <c r="G303" s="16" t="inlineStr"/>
      <c r="H303" s="16" t="inlineStr"/>
      <c r="I303" s="16" t="inlineStr"/>
    </row>
    <row r="304">
      <c r="A304" s="13" t="inlineStr">
        <is>
          <t>## 19b. Langganan &amp; Tagihan Resto</t>
        </is>
      </c>
      <c r="B304" s="14" t="inlineStr">
        <is>
          <t>TC-BL-17</t>
        </is>
      </c>
      <c r="C304" s="15" t="inlineStr">
        <is>
          <t>P1</t>
        </is>
      </c>
      <c r="D304" s="13" t="inlineStr">
        <is>
          <t>Super Admin → Tolak tanpa mengisi alasan</t>
        </is>
      </c>
      <c r="E304" s="13" t="inlineStr">
        <is>
          <t>Tombol Tolak tidak menyelesaikan apa-apa — alasan wajib</t>
        </is>
      </c>
      <c r="F304" s="13" t="inlineStr">
        <is>
          <t>F-BL-14</t>
        </is>
      </c>
      <c r="G304" s="13" t="inlineStr"/>
      <c r="H304" s="13" t="inlineStr"/>
      <c r="I304" s="13" t="inlineStr"/>
    </row>
    <row r="305">
      <c r="A305" s="16" t="inlineStr">
        <is>
          <t>## 19b. Langganan &amp; Tagihan Resto</t>
        </is>
      </c>
      <c r="B305" s="17" t="inlineStr">
        <is>
          <t>TC-BL-18</t>
        </is>
      </c>
      <c r="C305" s="18" t="inlineStr">
        <is>
          <t>P1</t>
        </is>
      </c>
      <c r="D305" s="16" t="inlineStr">
        <is>
          <t>Tolak berikut alasan, lalu buka layar Tagihan dari sisi resto</t>
        </is>
      </c>
      <c r="E305" s="16" t="inlineStr">
        <is>
          <t>Alasannya terbaca; kalau sudah lewat tenggang, terkunci lagi</t>
        </is>
      </c>
      <c r="F305" s="16" t="inlineStr">
        <is>
          <t>F-BL-14, F-BL-15</t>
        </is>
      </c>
      <c r="G305" s="16" t="inlineStr"/>
      <c r="H305" s="16" t="inlineStr"/>
      <c r="I305" s="16" t="inlineStr"/>
    </row>
    <row r="306">
      <c r="A306" s="13" t="inlineStr">
        <is>
          <t>## 19b. Langganan &amp; Tagihan Resto</t>
        </is>
      </c>
      <c r="B306" s="14" t="inlineStr">
        <is>
          <t>TC-BL-19</t>
        </is>
      </c>
      <c r="C306" s="15" t="inlineStr">
        <is>
          <t>P1</t>
        </is>
      </c>
      <c r="D306" s="13" t="inlineStr">
        <is>
          <t>Login sebagai Super Admin saat ada resto terkunci</t>
        </is>
      </c>
      <c r="E306" s="13" t="inlineStr">
        <is>
          <t>Tidak terkunci sama sekali</t>
        </is>
      </c>
      <c r="F306" s="13" t="inlineStr">
        <is>
          <t>F-BL-17</t>
        </is>
      </c>
      <c r="G306" s="13" t="inlineStr"/>
      <c r="H306" s="13" t="inlineStr"/>
      <c r="I306" s="13" t="inlineStr"/>
    </row>
    <row r="307">
      <c r="A307" s="16" t="inlineStr">
        <is>
          <t>## 19b. Langganan &amp; Tagihan Resto</t>
        </is>
      </c>
      <c r="B307" s="17" t="inlineStr">
        <is>
          <t>TC-BL-20</t>
        </is>
      </c>
      <c r="C307" s="18" t="inlineStr">
        <is>
          <t>P1</t>
        </is>
      </c>
      <c r="D307" s="16" t="inlineStr">
        <is>
          <t>Sebagai resto terkunci, coba ubah harga produk</t>
        </is>
      </c>
      <c r="E307" s="16" t="inlineStr">
        <is>
          <t>Ditolak — katalog ikut dibekukan</t>
        </is>
      </c>
      <c r="F307" s="16" t="inlineStr">
        <is>
          <t>F-BL-18</t>
        </is>
      </c>
      <c r="G307" s="16" t="inlineStr"/>
      <c r="H307" s="16" t="inlineStr"/>
      <c r="I307" s="16" t="inlineStr"/>
    </row>
    <row r="308">
      <c r="A308" s="13" t="inlineStr">
        <is>
          <t>## 19b. Langganan &amp; Tagihan Resto</t>
        </is>
      </c>
      <c r="B308" s="14" t="inlineStr">
        <is>
          <t>TC-BL-21</t>
        </is>
      </c>
      <c r="C308" s="15" t="inlineStr">
        <is>
          <t>P1</t>
        </is>
      </c>
      <c r="D308" s="13" t="inlineStr">
        <is>
          <t>Resto A terkunci; buka aplikasi sebagai karyawan resto B</t>
        </is>
      </c>
      <c r="E308" s="13" t="inlineStr">
        <is>
          <t>Resto B tidak terpengaruh</t>
        </is>
      </c>
      <c r="F308" s="13" t="inlineStr">
        <is>
          <t>F-BL-15, A-10</t>
        </is>
      </c>
      <c r="G308" s="13" t="inlineStr"/>
      <c r="H308" s="13" t="inlineStr"/>
      <c r="I308" s="13" t="inlineStr"/>
    </row>
    <row r="309">
      <c r="A309" s="16" t="inlineStr">
        <is>
          <t>## 19b. Langganan &amp; Tagihan Resto</t>
        </is>
      </c>
      <c r="B309" s="17" t="inlineStr">
        <is>
          <t>TC-BL-22</t>
        </is>
      </c>
      <c r="C309" s="18" t="inlineStr">
        <is>
          <t>P1</t>
        </is>
      </c>
      <c r="D309" s="16" t="inlineStr">
        <is>
          <t>Coba panggil review_billing_payment sebagai Owner resto</t>
        </is>
      </c>
      <c r="E309" s="16" t="inlineStr">
        <is>
          <t>Ditolak — hanya Super Admin</t>
        </is>
      </c>
      <c r="F309" s="16" t="inlineStr">
        <is>
          <t>F-BL-13</t>
        </is>
      </c>
      <c r="G309" s="16" t="inlineStr"/>
      <c r="H309" s="16" t="inlineStr"/>
      <c r="I309" s="16" t="inlineStr"/>
    </row>
    <row r="310">
      <c r="A310" s="13" t="inlineStr">
        <is>
          <t>## 19b. Langganan &amp; Tagihan Resto</t>
        </is>
      </c>
      <c r="B310" s="14" t="inlineStr">
        <is>
          <t>TC-BL-23</t>
        </is>
      </c>
      <c r="C310" s="15" t="inlineStr">
        <is>
          <t>P1</t>
        </is>
      </c>
      <c r="D310" s="13" t="inlineStr">
        <is>
          <t>Coba UPDATE billing_invoices SET status='paid' sebagai Owner</t>
        </is>
      </c>
      <c r="E310" s="13" t="inlineStr">
        <is>
          <t>Ditolak</t>
        </is>
      </c>
      <c r="F310" s="13" t="inlineStr">
        <is>
          <t>F-BL-13, TSD §7.3</t>
        </is>
      </c>
      <c r="G310" s="13" t="inlineStr"/>
      <c r="H310" s="13" t="inlineStr"/>
      <c r="I310" s="13" t="inlineStr"/>
    </row>
    <row r="311">
      <c r="A311" s="16" t="inlineStr">
        <is>
          <t>## 19b. Langganan &amp; Tagihan Resto</t>
        </is>
      </c>
      <c r="B311" s="17" t="inlineStr">
        <is>
          <t>TC-BL-24</t>
        </is>
      </c>
      <c r="C311" s="20" t="inlineStr">
        <is>
          <t>P2</t>
        </is>
      </c>
      <c r="D311" s="16" t="inlineStr">
        <is>
          <t>Matikan sambungan, buka aplikasi resto berbayar yang lancar</t>
        </is>
      </c>
      <c r="E311" s="16" t="inlineStr">
        <is>
          <t>Tidak terkunci karena gagal memeriksa</t>
        </is>
      </c>
      <c r="F311" s="16" t="inlineStr">
        <is>
          <t>TSD §7.3</t>
        </is>
      </c>
      <c r="G311" s="16" t="inlineStr"/>
      <c r="H311" s="16" t="inlineStr"/>
      <c r="I311" s="16" t="inlineStr"/>
    </row>
    <row r="312">
      <c r="A312" s="13" t="inlineStr">
        <is>
          <t>## 19b. Langganan &amp; Tagihan Resto</t>
        </is>
      </c>
      <c r="B312" s="14" t="inlineStr">
        <is>
          <t>TC-BL-25</t>
        </is>
      </c>
      <c r="C312" s="19" t="inlineStr">
        <is>
          <t>P2</t>
        </is>
      </c>
      <c r="D312" s="13" t="inlineStr">
        <is>
          <t>Owner → Tagihan Langganan</t>
        </is>
      </c>
      <c r="E312" s="13" t="inlineStr">
        <is>
          <t>Terbuka, memuat paket dan riwayat tagihan</t>
        </is>
      </c>
      <c r="F312" s="13" t="inlineStr">
        <is>
          <t>F-BL-11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TC-PF-01</t>
        </is>
      </c>
      <c r="C313" s="18" t="inlineStr">
        <is>
          <t>P1</t>
        </is>
      </c>
      <c r="D313" s="16" t="inlineStr">
        <is>
          <t>Super Admin → Finance → Riwayat Langganan</t>
        </is>
      </c>
      <c r="E313" s="16" t="inlineStr">
        <is>
          <t>Tagihan lunas tampil, dikelompokkan per bulan, dengan total</t>
        </is>
      </c>
      <c r="F313" s="16" t="inlineStr">
        <is>
          <t>F-PF-01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TC-PF-02</t>
        </is>
      </c>
      <c r="C314" s="19" t="inlineStr">
        <is>
          <t>P2</t>
        </is>
      </c>
      <c r="D314" s="13" t="inlineStr">
        <is>
          <t>Periksa penanda jalur pelunasan tiap baris</t>
        </is>
      </c>
      <c r="E314" s="13" t="inlineStr">
        <is>
          <t>Tertulis VA atau manual sesuai cara lunasnya</t>
        </is>
      </c>
      <c r="F314" s="13" t="inlineStr">
        <is>
          <t>F-PF-02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TC-PF-03</t>
        </is>
      </c>
      <c r="C315" s="18" t="inlineStr">
        <is>
          <t>P1</t>
        </is>
      </c>
      <c r="D315" s="16" t="inlineStr">
        <is>
          <t>Buat diskon langganan 20% untuk satu resto → terbitkan tagihan</t>
        </is>
      </c>
      <c r="E315" s="16" t="inlineStr">
        <is>
          <t>Tagihan resto itu berkurang 20%; resto lain tetap penuh</t>
        </is>
      </c>
      <c r="F315" s="16" t="inlineStr">
        <is>
          <t>F-PF-03, F-PF-05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TC-PF-04</t>
        </is>
      </c>
      <c r="C316" s="15" t="inlineStr">
        <is>
          <t>P1</t>
        </is>
      </c>
      <c r="D316" s="13" t="inlineStr">
        <is>
          <t>Simpan diskon tanpa memilih resto</t>
        </is>
      </c>
      <c r="E316" s="13" t="inlineStr">
        <is>
          <t>Ditolak — diskon tanpa sasaran tidak mengenai siapa pun</t>
        </is>
      </c>
      <c r="F316" s="13" t="inlineStr">
        <is>
          <t>F-PF-03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TC-PF-05</t>
        </is>
      </c>
      <c r="C317" s="20" t="inlineStr">
        <is>
          <t>P2</t>
        </is>
      </c>
      <c r="D317" s="16" t="inlineStr">
        <is>
          <t>Buat diskon rupiah lebih besar daripada harga langganan</t>
        </is>
      </c>
      <c r="E317" s="16" t="inlineStr">
        <is>
          <t>Potongannya berhenti di harga; tagihan tidak pernah negatif</t>
        </is>
      </c>
      <c r="F317" s="16" t="inlineStr">
        <is>
          <t>F-PF-03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TC-PF-06</t>
        </is>
      </c>
      <c r="C318" s="19" t="inlineStr">
        <is>
          <t>P2</t>
        </is>
      </c>
      <c r="D318" s="13" t="inlineStr">
        <is>
          <t>Nonaktifkan diskon, terbitkan tagihan berikutnya</t>
        </is>
      </c>
      <c r="E318" s="13" t="inlineStr">
        <is>
          <t>Tidak memotong; diskonnya tetap ada di daftar</t>
        </is>
      </c>
      <c r="F318" s="13" t="inlineStr">
        <is>
          <t>F-PF-04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TC-PF-07</t>
        </is>
      </c>
      <c r="C319" s="18" t="inlineStr">
        <is>
          <t>P1</t>
        </is>
      </c>
      <c r="D319" s="16" t="inlineStr">
        <is>
          <t>Hapus diskon setelah tagihan terbit</t>
        </is>
      </c>
      <c r="E319" s="16" t="inlineStr">
        <is>
          <t>Tagihan yang sudah terbit tetap menyebut potongannya</t>
        </is>
      </c>
      <c r="F319" s="16" t="inlineStr">
        <is>
          <t>F-PF-05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TC-PF-08</t>
        </is>
      </c>
      <c r="C320" s="15" t="inlineStr">
        <is>
          <t>P1</t>
        </is>
      </c>
      <c r="D320" s="13" t="inlineStr">
        <is>
          <t>Bayar tagihan berdiskon → buka Jurnal GL KaataGo</t>
        </is>
      </c>
      <c r="E320" s="13" t="inlineStr">
        <is>
          <t>Dua baris: pendapatan kredit, diskon debit</t>
        </is>
      </c>
      <c r="F320" s="13" t="inlineStr">
        <is>
          <t>F-PF-06, F-PF-07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TC-PF-09</t>
        </is>
      </c>
      <c r="C321" s="18" t="inlineStr">
        <is>
          <t>P1</t>
        </is>
      </c>
      <c r="D321" s="16" t="inlineStr">
        <is>
          <t>Tagihan ditolak lalu diterima lagi</t>
        </is>
      </c>
      <c r="E321" s="16" t="inlineStr">
        <is>
          <t>Jurnalnya tetap satu set — pendapatan tidak tercatat dua kali</t>
        </is>
      </c>
      <c r="F321" s="16" t="inlineStr">
        <is>
          <t>F-PF-07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TC-PF-10</t>
        </is>
      </c>
      <c r="C322" s="15" t="inlineStr">
        <is>
          <t>P1</t>
        </is>
      </c>
      <c r="D322" s="13" t="inlineStr">
        <is>
          <t>Buka Jurnal GL resto yang membayar</t>
        </is>
      </c>
      <c r="E322" s="13" t="inlineStr">
        <is>
          <t>Tidak ada baris pendapatan langganan di sana</t>
        </is>
      </c>
      <c r="F322" s="13" t="inlineStr">
        <is>
          <t>F-PF-07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TC-PF-11</t>
        </is>
      </c>
      <c r="C323" s="20" t="inlineStr">
        <is>
          <t>P2</t>
        </is>
      </c>
      <c r="D323" s="16" t="inlineStr">
        <is>
          <t>Buka Mapping GL Account KaataGo</t>
        </is>
      </c>
      <c r="E323" s="16" t="inlineStr">
        <is>
          <t>Bagan akun 11xxxxx lengkap, berbeda dari 19xxxxx milik resto</t>
        </is>
      </c>
      <c r="F323" s="16" t="inlineStr">
        <is>
          <t>F-PF-08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TC-PF-12</t>
        </is>
      </c>
      <c r="C324" s="19" t="inlineStr">
        <is>
          <t>P2</t>
        </is>
      </c>
      <c r="D324" s="13" t="inlineStr">
        <is>
          <t>Catat pengeluaran dan top up petty cash KaataGo</t>
        </is>
      </c>
      <c r="E324" s="13" t="inlineStr">
        <is>
          <t>Bekerja sama seperti di resto</t>
        </is>
      </c>
      <c r="F324" s="13" t="inlineStr">
        <is>
          <t>F-PF-09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TC-PF-13</t>
        </is>
      </c>
      <c r="C325" s="18" t="inlineStr">
        <is>
          <t>P1</t>
        </is>
      </c>
      <c r="D325" s="16" t="inlineStr">
        <is>
          <t>Telusuri menu Finance KaataGo</t>
        </is>
      </c>
      <c r="E325" s="16" t="inlineStr">
        <is>
          <t>Tidak ada Setor Saldo Cash</t>
        </is>
      </c>
      <c r="F325" s="16" t="inlineStr">
        <is>
          <t>F-PF-10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TC-PF-14</t>
        </is>
      </c>
      <c r="C326" s="15" t="inlineStr">
        <is>
          <t>P1</t>
        </is>
      </c>
      <c r="D326" s="13" t="inlineStr">
        <is>
          <t>Buka Jurnal GL Semua Resto</t>
        </is>
      </c>
      <c r="E326" s="13" t="inlineStr">
        <is>
          <t>Jurnal seluruh resto tampil, bisa disaring per resto</t>
        </is>
      </c>
      <c r="F326" s="13" t="inlineStr">
        <is>
          <t>F-PF-11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TC-PF-15</t>
        </is>
      </c>
      <c r="C327" s="18" t="inlineStr">
        <is>
          <t>P1</t>
        </is>
      </c>
      <c r="D327" s="16" t="inlineStr">
        <is>
          <t>Cari cara mengubah baris di Jurnal GL Semua Resto</t>
        </is>
      </c>
      <c r="E327" s="16" t="inlineStr">
        <is>
          <t>Tidak ada satu pun — hanya bisa dilihat</t>
        </is>
      </c>
      <c r="F327" s="16" t="inlineStr">
        <is>
          <t>F-PF-12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TC-PF-16</t>
        </is>
      </c>
      <c r="C328" s="15" t="inlineStr">
        <is>
          <t>P1</t>
        </is>
      </c>
      <c r="D328" s="13" t="inlineStr">
        <is>
          <t>Coba UPDATE gl_journal_entries sebagai Super Admin lewat API</t>
        </is>
      </c>
      <c r="E328" s="13" t="inlineStr">
        <is>
          <t>Ditolak</t>
        </is>
      </c>
      <c r="F328" s="13" t="inlineStr">
        <is>
          <t>F-PF-12, TSD §7.4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TC-PF-17</t>
        </is>
      </c>
      <c r="C329" s="18" t="inlineStr">
        <is>
          <t>P1</t>
        </is>
      </c>
      <c r="D329" s="16" t="inlineStr">
        <is>
          <t>Buka Pilih Resto sebagai pelanggan</t>
        </is>
      </c>
      <c r="E329" s="16" t="inlineStr">
        <is>
          <t>KaataGo tidak muncul di daftar mana pun</t>
        </is>
      </c>
      <c r="F329" s="16" t="inlineStr">
        <is>
          <t>TSD §7.4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TC-PF-18</t>
        </is>
      </c>
      <c r="C330" s="15" t="inlineStr">
        <is>
          <t>P1</t>
        </is>
      </c>
      <c r="D330" s="13" t="inlineStr">
        <is>
          <t>Buka List Resto dan Billing Resto sebagai Super Admin</t>
        </is>
      </c>
      <c r="E330" s="13" t="inlineStr">
        <is>
          <t>KaataGo tidak muncul sebagai resto yang bisa ditagih</t>
        </is>
      </c>
      <c r="F330" s="13" t="inlineStr">
        <is>
          <t>TSD §7.4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TC-PF-19</t>
        </is>
      </c>
      <c r="C331" s="20" t="inlineStr">
        <is>
          <t>P2</t>
        </is>
      </c>
      <c r="D331" s="16" t="inlineStr">
        <is>
          <t>Buka Diskon Langganan sebagai Owner resto</t>
        </is>
      </c>
      <c r="E331" s="16" t="inlineStr">
        <is>
          <t>Hanya diskon yang mengenai restonya yang terbaca</t>
        </is>
      </c>
      <c r="F331" s="16" t="inlineStr">
        <is>
          <t>F-PF-03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TC-PF-20</t>
        </is>
      </c>
      <c r="C332" s="15" t="inlineStr">
        <is>
          <t>P1</t>
        </is>
      </c>
      <c r="D332" s="13" t="inlineStr">
        <is>
          <t>Bandingkan total debit/kredit Jurnal Semua Resto dengan Jurnal GL resto itu (saring ke resto yang sama)</t>
        </is>
      </c>
      <c r="E332" s="13" t="inlineStr">
        <is>
          <t>Angkanya sama persis</t>
        </is>
      </c>
      <c r="F332" s="13" t="inlineStr">
        <is>
          <t>F-PF-14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TC-PF-21</t>
        </is>
      </c>
      <c r="C333" s="18" t="inlineStr">
        <is>
          <t>P1</t>
        </is>
      </c>
      <c r="D333" s="16" t="inlineStr">
        <is>
          <t>Batalkan sebuah pengeluaran, lihat kedua layar jurnal</t>
        </is>
      </c>
      <c r="E333" s="16" t="inlineStr">
        <is>
          <t>Total tidak naik; keterangan "N pembatalan tidak dihitung" muncul</t>
        </is>
      </c>
      <c r="F333" s="16" t="inlineStr">
        <is>
          <t>F-PF-14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TC-PF-22</t>
        </is>
      </c>
      <c r="C334" s="19" t="inlineStr">
        <is>
          <t>P2</t>
        </is>
      </c>
      <c r="D334" s="13" t="inlineStr">
        <is>
          <t>Cari baris pembatalan di daftar</t>
        </is>
      </c>
      <c r="E334" s="13" t="inlineStr">
        <is>
          <t>Tetap tampil, bertanda PEMBATALAN</t>
        </is>
      </c>
      <c r="F334" s="13" t="inlineStr">
        <is>
          <t>F-PF-15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TC-PF-23</t>
        </is>
      </c>
      <c r="C335" s="18" t="inlineStr">
        <is>
          <t>P1</t>
        </is>
      </c>
      <c r="D335" s="16" t="inlineStr">
        <is>
          <t>Saring ke sebuah resto, lalu pilih Semua resto lagi</t>
        </is>
      </c>
      <c r="E335" s="16" t="inlineStr">
        <is>
          <t>Kembali menampilkan seluruh resto — bukan tetap tersaring</t>
        </is>
      </c>
      <c r="F335" s="16" t="inlineStr">
        <is>
          <t>F-PF-16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TC-PF-24</t>
        </is>
      </c>
      <c r="C336" s="15" t="inlineStr">
        <is>
          <t>P1</t>
        </is>
      </c>
      <c r="D336" s="13" t="inlineStr">
        <is>
          <t>Saring ke resto A, lalu saring lagi ke resto B yang punya jurnal</t>
        </is>
      </c>
      <c r="E336" s="13" t="inlineStr">
        <is>
          <t>Isinya berganti ke jurnal resto B</t>
        </is>
      </c>
      <c r="F336" s="13" t="inlineStr">
        <is>
          <t>F-PF-16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TC-PF-25</t>
        </is>
      </c>
      <c r="C337" s="20" t="inlineStr">
        <is>
          <t>P2</t>
        </is>
      </c>
      <c r="D337" s="16" t="inlineStr">
        <is>
          <t>Perhatikan pita di atas layar sesudah menyaring</t>
        </is>
      </c>
      <c r="E337" s="16" t="inlineStr">
        <is>
          <t>Nama restonya tertulis, dengan tombol × untuk melepasnya</t>
        </is>
      </c>
      <c r="F337" s="16" t="inlineStr">
        <is>
          <t>F-PF-16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TC-PF-26</t>
        </is>
      </c>
      <c r="C338" s="19" t="inlineStr">
        <is>
          <t>P2</t>
        </is>
      </c>
      <c r="D338" s="13" t="inlineStr">
        <is>
          <t>Buka daftar saringan</t>
        </is>
      </c>
      <c r="E338" s="13" t="inlineStr">
        <is>
          <t>Resto yang belum punya jurnal ditandai "Belum ada jurnal"</t>
        </is>
      </c>
      <c r="F338" s="13" t="inlineStr">
        <is>
          <t>F-PF-17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TC-PF-27</t>
        </is>
      </c>
      <c r="C339" s="20" t="inlineStr">
        <is>
          <t>P2</t>
        </is>
      </c>
      <c r="D339" s="16" t="inlineStr">
        <is>
          <t>Perhatikan pengelompokan</t>
        </is>
      </c>
      <c r="E339" s="16" t="inlineStr">
        <is>
          <t>Per tanggal, bisa dilipat; tanggal terbaru terbuka, sisanya tertutup</t>
        </is>
      </c>
      <c r="F339" s="16" t="inlineStr">
        <is>
          <t>F-PF-18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TC-PF-28</t>
        </is>
      </c>
      <c r="C340" s="15" t="inlineStr">
        <is>
          <t>P1</t>
        </is>
      </c>
      <c r="D340" s="13" t="inlineStr">
        <is>
          <t>Buka Mapping GL Account resto mana pun</t>
        </is>
      </c>
      <c r="E340" s="13" t="inlineStr">
        <is>
          <t>GL Diskon punya bagiannya dan nomornya sudah terisi</t>
        </is>
      </c>
      <c r="F340" s="13" t="inlineStr">
        <is>
          <t>F-PF-19, F-DS-09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TC-PF-29</t>
        </is>
      </c>
      <c r="C341" s="20" t="inlineStr">
        <is>
          <t>P2</t>
        </is>
      </c>
      <c r="D341" s="16" t="inlineStr">
        <is>
          <t>Buka Mapping GL Account KaataGo</t>
        </is>
      </c>
      <c r="E341" s="16" t="inlineStr">
        <is>
          <t>Ada bagian GL Langganan; penghitung akun tidak pernah menyisakan yang mustahil terisi</t>
        </is>
      </c>
      <c r="F341" s="16" t="inlineStr">
        <is>
          <t>F-PF-19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TC-PF-30</t>
        </is>
      </c>
      <c r="C342" s="15" t="inlineStr">
        <is>
          <t>P1</t>
        </is>
      </c>
      <c r="D342" s="13" t="inlineStr">
        <is>
          <t>Pesan menu berpromo, bayar, buka Jurnal GL</t>
        </is>
      </c>
      <c r="E342" s="13" t="inlineStr">
        <is>
          <t>Baris GL Diskon menyebut nama promonya</t>
        </is>
      </c>
      <c r="F342" s="13" t="inlineStr">
        <is>
          <t>F-PF-20, F-DS-13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TC-PF-31</t>
        </is>
      </c>
      <c r="C343" s="18" t="inlineStr">
        <is>
          <t>P1</t>
        </is>
      </c>
      <c r="D343" s="16" t="inlineStr">
        <is>
          <t>Buka Jurnal GL Semua Resto sesudah ada tagihan langganan lunas</t>
        </is>
      </c>
      <c r="E343" s="16" t="inlineStr">
        <is>
          <t>Baris pendapatan langganan tidak muncul di sana</t>
        </is>
      </c>
      <c r="F343" s="16" t="inlineStr">
        <is>
          <t>F-PF-21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TC-PF-32</t>
        </is>
      </c>
      <c r="C344" s="15" t="inlineStr">
        <is>
          <t>P1</t>
        </is>
      </c>
      <c r="D344" s="13" t="inlineStr">
        <is>
          <t>Buka daftar saringan resto</t>
        </is>
      </c>
      <c r="E344" s="13" t="inlineStr">
        <is>
          <t>KaataGo tidak ada di daftarnya</t>
        </is>
      </c>
      <c r="F344" s="13" t="inlineStr">
        <is>
          <t>F-PF-21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TC-PF-33</t>
        </is>
      </c>
      <c r="C345" s="18" t="inlineStr">
        <is>
          <t>P1</t>
        </is>
      </c>
      <c r="D345" s="16" t="inlineStr">
        <is>
          <t>Buka Jurnal GL KaataGo</t>
        </is>
      </c>
      <c r="E345" s="16" t="inlineStr">
        <is>
          <t>Pendapatan langganan ada di sana, dan Saldo Total tidak nol</t>
        </is>
      </c>
      <c r="F345" s="16" t="inlineStr">
        <is>
          <t>F-PF-07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TC-PF-34</t>
        </is>
      </c>
      <c r="C346" s="19" t="inlineStr">
        <is>
          <t>P2</t>
        </is>
      </c>
      <c r="D346" s="13" t="inlineStr">
        <is>
          <t>Periksa nomor akun di Jurnal GL KaataGo</t>
        </is>
      </c>
      <c r="E346" s="13" t="inlineStr">
        <is>
          <t>Golongan 11xxxxx, berbeda dari 19xxxxx milik resto</t>
        </is>
      </c>
      <c r="F346" s="13" t="inlineStr">
        <is>
          <t>F-PF-08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TC-PF-35</t>
        </is>
      </c>
      <c r="C347" s="18" t="inlineStr">
        <is>
          <t>P1</t>
        </is>
      </c>
      <c r="D347" s="16" t="inlineStr">
        <is>
          <t>Bandingkan Saldo Total di Saldo &amp; Pengeluaran dengan Jurnal GL KaataGo</t>
        </is>
      </c>
      <c r="E347" s="16" t="inlineStr">
        <is>
          <t>Angkanya sama persis</t>
        </is>
      </c>
      <c r="F347" s="16" t="inlineStr">
        <is>
          <t>F-PF-09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TC-PF-36</t>
        </is>
      </c>
      <c r="C348" s="15" t="inlineStr">
        <is>
          <t>P1</t>
        </is>
      </c>
      <c r="D348" s="13" t="inlineStr">
        <is>
          <t>Terbitkan voucher, muat ulang kedua layar</t>
        </is>
      </c>
      <c r="E348" s="13" t="inlineStr">
        <is>
          <t>Saldo Total tidak berubah — uangnya pindah kantong, bukan hilang</t>
        </is>
      </c>
      <c r="F348" s="13" t="inlineStr">
        <is>
          <t>F-PF-09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TC-PF-36b</t>
        </is>
      </c>
      <c r="C349" s="18" t="inlineStr">
        <is>
          <t>P1</t>
        </is>
      </c>
      <c r="D349" s="16" t="inlineStr">
        <is>
          <t>Voucher dipakai pelanggan di resto</t>
        </is>
      </c>
      <c r="E349" s="16" t="inlineStr">
        <is>
          <t>Saldo KaataGo berkurang sebesar nilai vouchernya</t>
        </is>
      </c>
      <c r="F349" s="16" t="inlineStr">
        <is>
          <t>F-PF-09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TC-PF-37</t>
        </is>
      </c>
      <c r="C350" s="19" t="inlineStr">
        <is>
          <t>P2</t>
        </is>
      </c>
      <c r="D350" s="13" t="inlineStr">
        <is>
          <t>Buka Saldo &amp; Pengeluaran untuk KaataGo</t>
        </is>
      </c>
      <c r="E350" s="13" t="inlineStr">
        <is>
          <t>Tidak ada kartu Saldo Cash / Non Cash</t>
        </is>
      </c>
      <c r="F350" s="13" t="inlineStr">
        <is>
          <t>F-PF-10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TC-PF-38</t>
        </is>
      </c>
      <c r="C351" s="20" t="inlineStr">
        <is>
          <t>P2</t>
        </is>
      </c>
      <c r="D351" s="16" t="inlineStr">
        <is>
          <t>Buka layar yang sama untuk resto biasa</t>
        </is>
      </c>
      <c r="E351" s="16" t="inlineStr">
        <is>
          <t>Kartu Cash/Non Cash tetap ada</t>
        </is>
      </c>
      <c r="F351" s="16" t="inlineStr">
        <is>
          <t>F-PF-10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TC-CB-01</t>
        </is>
      </c>
      <c r="C352" s="15" t="inlineStr">
        <is>
          <t>P1</t>
        </is>
      </c>
      <c r="D352" s="13" t="inlineStr">
        <is>
          <t>Izinkan lokasi, lihat daftar Terdekat</t>
        </is>
      </c>
      <c r="E352" s="13" t="inlineStr">
        <is>
          <t>Hanya resto ≤ 5 km yang muncul</t>
        </is>
      </c>
      <c r="F352" s="13" t="inlineStr">
        <is>
          <t>F-CB-01</t>
        </is>
      </c>
      <c r="G352" s="13" t="inlineStr"/>
      <c r="H352" s="13" t="inlineStr"/>
      <c r="I352" s="13" t="inlineStr"/>
    </row>
    <row r="353">
      <c r="A353" s="16" t="inlineStr">
        <is>
          <t>## 19c. Finance KaataGo (Super Admin)</t>
        </is>
      </c>
      <c r="B353" s="17" t="inlineStr">
        <is>
          <t>TC-CB-02</t>
        </is>
      </c>
      <c r="C353" s="18" t="inlineStr">
        <is>
          <t>P1</t>
        </is>
      </c>
      <c r="D353" s="16" t="inlineStr">
        <is>
          <t>Resto berjarak 7 km</t>
        </is>
      </c>
      <c r="E353" s="16" t="inlineStr">
        <is>
          <t>Tidak di Terdekat, tapi ada di Semua Resto</t>
        </is>
      </c>
      <c r="F353" s="16" t="inlineStr">
        <is>
          <t>F-CB-01, F-CB-02</t>
        </is>
      </c>
      <c r="G353" s="16" t="inlineStr"/>
      <c r="H353" s="16" t="inlineStr"/>
      <c r="I353" s="16" t="inlineStr"/>
    </row>
    <row r="354">
      <c r="A354" s="13" t="inlineStr">
        <is>
          <t>## 19c. Finance KaataGo (Super Admin)</t>
        </is>
      </c>
      <c r="B354" s="14" t="inlineStr">
        <is>
          <t>TC-CB-03</t>
        </is>
      </c>
      <c r="C354" s="19" t="inlineStr">
        <is>
          <t>P2</t>
        </is>
      </c>
      <c r="D354" s="13" t="inlineStr">
        <is>
          <t>Periksa keterangan di judul bagian Terdekat</t>
        </is>
      </c>
      <c r="E354" s="13" t="inlineStr">
        <is>
          <t>Tertulis "Dalam 5 km dari kamu"</t>
        </is>
      </c>
      <c r="F354" s="13" t="inlineStr">
        <is>
          <t>F-CB-01</t>
        </is>
      </c>
      <c r="G354" s="13" t="inlineStr"/>
      <c r="H354" s="13" t="inlineStr"/>
      <c r="I354" s="13" t="inlineStr"/>
    </row>
    <row r="355">
      <c r="A355" s="16" t="inlineStr">
        <is>
          <t>## 19c. Finance KaataGo (Super Admin)</t>
        </is>
      </c>
      <c r="B355" s="17" t="inlineStr">
        <is>
          <t>TC-CB-04</t>
        </is>
      </c>
      <c r="C355" s="20" t="inlineStr">
        <is>
          <t>P2</t>
        </is>
      </c>
      <c r="D355" s="16" t="inlineStr">
        <is>
          <t>Tolak izin lokasi</t>
        </is>
      </c>
      <c r="E355" s="16" t="inlineStr">
        <is>
          <t>Bagian Terdekat tidak tampil; Semua Resto tetap ada</t>
        </is>
      </c>
      <c r="F355" s="16" t="inlineStr">
        <is>
          <t>F-CB-02</t>
        </is>
      </c>
      <c r="G355" s="16" t="inlineStr"/>
      <c r="H355" s="16" t="inlineStr"/>
      <c r="I355" s="16" t="inlineStr"/>
    </row>
    <row r="356">
      <c r="A356" s="13" t="inlineStr">
        <is>
          <t>## 19c. Finance KaataGo (Super Admin)</t>
        </is>
      </c>
      <c r="B356" s="14" t="inlineStr">
        <is>
          <t>TC-TB-01</t>
        </is>
      </c>
      <c r="C356" s="15" t="inlineStr">
        <is>
          <t>P1</t>
        </is>
      </c>
      <c r="D356" s="13" t="inlineStr">
        <is>
          <t>Tablet, Kasir: ketuk sebuah menu</t>
        </is>
      </c>
      <c r="E356" s="13" t="inlineStr">
        <is>
          <t>Popup muncul di kiri; keranjang kanan tetap terbaca penuh</t>
        </is>
      </c>
      <c r="F356" s="13" t="inlineStr">
        <is>
          <t>F-TB-02</t>
        </is>
      </c>
      <c r="G356" s="13" t="inlineStr"/>
      <c r="H356" s="13" t="inlineStr"/>
      <c r="I356" s="13" t="inlineStr"/>
    </row>
    <row r="357">
      <c r="A357" s="16" t="inlineStr">
        <is>
          <t>## 19c. Finance KaataGo (Super Admin)</t>
        </is>
      </c>
      <c r="B357" s="17" t="inlineStr">
        <is>
          <t>TC-TB-02</t>
        </is>
      </c>
      <c r="C357" s="18" t="inlineStr">
        <is>
          <t>P1</t>
        </is>
      </c>
      <c r="D357" s="16" t="inlineStr">
        <is>
          <t>Tablet, Kasir: ketuk ikon edit pada baris keranjang</t>
        </is>
      </c>
      <c r="E357" s="16" t="inlineStr">
        <is>
          <t>Popup editnya juga di kiri</t>
        </is>
      </c>
      <c r="F357" s="16" t="inlineStr">
        <is>
          <t>F-TB-02</t>
        </is>
      </c>
      <c r="G357" s="16" t="inlineStr"/>
      <c r="H357" s="16" t="inlineStr"/>
      <c r="I357" s="16" t="inlineStr"/>
    </row>
    <row r="358">
      <c r="A358" s="13" t="inlineStr">
        <is>
          <t>## 19c. Finance KaataGo (Super Admin)</t>
        </is>
      </c>
      <c r="B358" s="14" t="inlineStr">
        <is>
          <t>TC-TB-03</t>
        </is>
      </c>
      <c r="C358" s="15" t="inlineStr">
        <is>
          <t>P1</t>
        </is>
      </c>
      <c r="D358" s="13" t="inlineStr">
        <is>
          <t>Tablet, Pelanggan: buka menu resto</t>
        </is>
      </c>
      <c r="E358" s="13" t="inlineStr">
        <is>
          <t>Keranjang tampil sebagai panel kanan</t>
        </is>
      </c>
      <c r="F358" s="13" t="inlineStr">
        <is>
          <t>F-TB-01</t>
        </is>
      </c>
      <c r="G358" s="13" t="inlineStr"/>
      <c r="H358" s="13" t="inlineStr"/>
      <c r="I358" s="13" t="inlineStr"/>
    </row>
    <row r="359">
      <c r="A359" s="16" t="inlineStr">
        <is>
          <t>## 19c. Finance KaataGo (Super Admin)</t>
        </is>
      </c>
      <c r="B359" s="17" t="inlineStr">
        <is>
          <t>TC-TB-04</t>
        </is>
      </c>
      <c r="C359" s="18" t="inlineStr">
        <is>
          <t>P1</t>
        </is>
      </c>
      <c r="D359" s="16" t="inlineStr">
        <is>
          <t>Tablet, Pelanggan: ketuk sebuah menu</t>
        </is>
      </c>
      <c r="E359" s="16" t="inlineStr">
        <is>
          <t>Popup di kiri, panel keranjang tidak tertutup</t>
        </is>
      </c>
      <c r="F359" s="16" t="inlineStr">
        <is>
          <t>F-TB-02</t>
        </is>
      </c>
      <c r="G359" s="16" t="inlineStr"/>
      <c r="H359" s="16" t="inlineStr"/>
      <c r="I359" s="16" t="inlineStr"/>
    </row>
    <row r="360">
      <c r="A360" s="13" t="inlineStr">
        <is>
          <t>## 19c. Finance KaataGo (Super Admin)</t>
        </is>
      </c>
      <c r="B360" s="14" t="inlineStr">
        <is>
          <t>TC-TB-05</t>
        </is>
      </c>
      <c r="C360" s="15" t="inlineStr">
        <is>
          <t>P1</t>
        </is>
      </c>
      <c r="D360" s="13" t="inlineStr">
        <is>
          <t>Tablet, Pelanggan: isi meja, pilih voucher, lalu bayar dari panel</t>
        </is>
      </c>
      <c r="E360" s="13" t="inlineStr">
        <is>
          <t>Berjalan sama persis dengan halaman keranjang</t>
        </is>
      </c>
      <c r="F360" s="13" t="inlineStr">
        <is>
          <t>F-TB-01</t>
        </is>
      </c>
      <c r="G360" s="13" t="inlineStr"/>
      <c r="H360" s="13" t="inlineStr"/>
      <c r="I360" s="13" t="inlineStr"/>
    </row>
    <row r="361">
      <c r="A361" s="16" t="inlineStr">
        <is>
          <t>## 19c. Finance KaataGo (Super Admin)</t>
        </is>
      </c>
      <c r="B361" s="17" t="inlineStr">
        <is>
          <t>TC-TB-06</t>
        </is>
      </c>
      <c r="C361" s="20" t="inlineStr">
        <is>
          <t>P2</t>
        </is>
      </c>
      <c r="D361" s="16" t="inlineStr">
        <is>
          <t>Tablet: periksa bagian bawah layar</t>
        </is>
      </c>
      <c r="E361" s="16" t="inlineStr">
        <is>
          <t>Tidak ada bar keranjang</t>
        </is>
      </c>
      <c r="F361" s="16" t="inlineStr">
        <is>
          <t>F-TB-03</t>
        </is>
      </c>
      <c r="G361" s="16" t="inlineStr"/>
      <c r="H361" s="16" t="inlineStr"/>
      <c r="I361" s="16" t="inlineStr"/>
    </row>
    <row r="362">
      <c r="A362" s="13" t="inlineStr">
        <is>
          <t>## 19c. Finance KaataGo (Super Admin)</t>
        </is>
      </c>
      <c r="B362" s="14" t="inlineStr">
        <is>
          <t>TC-TB-07</t>
        </is>
      </c>
      <c r="C362" s="15" t="inlineStr">
        <is>
          <t>P1</t>
        </is>
      </c>
      <c r="D362" s="13" t="inlineStr">
        <is>
          <t>HP: ketuk sebuah menu</t>
        </is>
      </c>
      <c r="E362" s="13" t="inlineStr">
        <is>
          <t>Popup tetap di tengah; keranjang tetap bar bawah</t>
        </is>
      </c>
      <c r="F362" s="13" t="inlineStr">
        <is>
          <t>F-TB-04</t>
        </is>
      </c>
      <c r="G362" s="13" t="inlineStr"/>
      <c r="H362" s="13" t="inlineStr"/>
      <c r="I362" s="13" t="inlineStr"/>
    </row>
    <row r="363">
      <c r="A363" s="16" t="inlineStr">
        <is>
          <t>## 19c. Finance KaataGo (Super Admin)</t>
        </is>
      </c>
      <c r="B363" s="17" t="inlineStr">
        <is>
          <t>TC-TB-08</t>
        </is>
      </c>
      <c r="C363" s="20" t="inlineStr">
        <is>
          <t>P2</t>
        </is>
      </c>
      <c r="D363" s="16" t="inlineStr">
        <is>
          <t>Putar tablet ke potret sampai di bawah 1000px</t>
        </is>
      </c>
      <c r="E363" s="16" t="inlineStr">
        <is>
          <t>Kembali ke tata letak HP tanpa kehilangan isi keranjang</t>
        </is>
      </c>
      <c r="F363" s="16" t="inlineStr">
        <is>
          <t>F-TB-04</t>
        </is>
      </c>
      <c r="G363" s="16" t="inlineStr"/>
      <c r="H363" s="16" t="inlineStr"/>
      <c r="I363" s="16" t="inlineStr"/>
    </row>
    <row r="364">
      <c r="A364" s="13" t="inlineStr">
        <is>
          <t>## 19c. Finance KaataGo (Super Admin)</t>
        </is>
      </c>
      <c r="B364" s="14" t="inlineStr">
        <is>
          <t>TC-TB-09</t>
        </is>
      </c>
      <c r="C364" s="15" t="inlineStr">
        <is>
          <t>P1</t>
        </is>
      </c>
      <c r="D364" s="13" t="inlineStr">
        <is>
          <t>Tablet melintang: buka checkout dari Kasir dengan 3 item</t>
        </is>
      </c>
      <c r="E364" s="13" t="inlineStr">
        <is>
          <t>Daftar itemnya terlihat; tidak ada yang terpotong</t>
        </is>
      </c>
      <c r="F364" s="13" t="inlineStr">
        <is>
          <t>F-TB-05</t>
        </is>
      </c>
      <c r="G364" s="13" t="inlineStr"/>
      <c r="H364" s="13" t="inlineStr"/>
      <c r="I364" s="13" t="inlineStr"/>
    </row>
    <row r="365">
      <c r="A365" s="16" t="inlineStr">
        <is>
          <t>## 19c. Finance KaataGo (Super Admin)</t>
        </is>
      </c>
      <c r="B365" s="17" t="inlineStr">
        <is>
          <t>TC-TB-10</t>
        </is>
      </c>
      <c r="C365" s="18" t="inlineStr">
        <is>
          <t>P1</t>
        </is>
      </c>
      <c r="D365" s="16" t="inlineStr">
        <is>
          <t>Gulir sampai bawah di halaman itu</t>
        </is>
      </c>
      <c r="E365" s="16" t="inlineStr">
        <is>
          <t>Tombol bayarnya tercapai penuh</t>
        </is>
      </c>
      <c r="F365" s="16" t="inlineStr">
        <is>
          <t>F-TB-05</t>
        </is>
      </c>
      <c r="G365" s="16" t="inlineStr"/>
      <c r="H365" s="16" t="inlineStr"/>
      <c r="I365" s="16" t="inlineStr"/>
    </row>
    <row r="366">
      <c r="A366" s="13" t="inlineStr">
        <is>
          <t>## 19c. Finance KaataGo (Super Admin)</t>
        </is>
      </c>
      <c r="B366" s="14" t="inlineStr">
        <is>
          <t>TC-TB-11</t>
        </is>
      </c>
      <c r="C366" s="15" t="inlineStr">
        <is>
          <t>P1</t>
        </is>
      </c>
      <c r="D366" s="13" t="inlineStr">
        <is>
          <t>Ulangi keduanya dari sisi Pelanggan</t>
        </is>
      </c>
      <c r="E366" s="13" t="inlineStr">
        <is>
          <t>Sama — keduanya diperbaiki, bukan salah satunya</t>
        </is>
      </c>
      <c r="F366" s="13" t="inlineStr">
        <is>
          <t>F-TB-05</t>
        </is>
      </c>
      <c r="G366" s="13" t="inlineStr"/>
      <c r="H366" s="13" t="inlineStr"/>
      <c r="I366" s="13" t="inlineStr"/>
    </row>
    <row r="367">
      <c r="A367" s="16" t="inlineStr">
        <is>
          <t>## 19c. Finance KaataGo (Super Admin)</t>
        </is>
      </c>
      <c r="B367" s="17" t="inlineStr">
        <is>
          <t>TC-TB-12</t>
        </is>
      </c>
      <c r="C367" s="20" t="inlineStr">
        <is>
          <t>P2</t>
        </is>
      </c>
      <c r="D367" s="16" t="inlineStr">
        <is>
          <t>Buka menu sebagai Admin lalu Owner</t>
        </is>
      </c>
      <c r="E367" s="16" t="inlineStr">
        <is>
          <t>Sama persis dengan Kasir — satu layar yang sama</t>
        </is>
      </c>
      <c r="F367" s="16" t="inlineStr">
        <is>
          <t>F-TB-05, F-TB-06</t>
        </is>
      </c>
      <c r="G367" s="16" t="inlineStr"/>
      <c r="H367" s="16" t="inlineStr"/>
      <c r="I367" s="16" t="inlineStr"/>
    </row>
    <row r="368">
      <c r="A368" s="13" t="inlineStr">
        <is>
          <t>## 19c. Finance KaataGo (Super Admin)</t>
        </is>
      </c>
      <c r="B368" s="14" t="inlineStr">
        <is>
          <t>TC-TB-13</t>
        </is>
      </c>
      <c r="C368" s="15" t="inlineStr">
        <is>
          <t>P1</t>
        </is>
      </c>
      <c r="D368" s="13" t="inlineStr">
        <is>
          <t>Buka daftar menu</t>
        </is>
      </c>
      <c r="E368" s="13" t="inlineStr">
        <is>
          <t>Semua kategori sudah terbuka</t>
        </is>
      </c>
      <c r="F368" s="13" t="inlineStr">
        <is>
          <t>F-TB-06</t>
        </is>
      </c>
      <c r="G368" s="13" t="inlineStr"/>
      <c r="H368" s="13" t="inlineStr"/>
      <c r="I368" s="13" t="inlineStr"/>
    </row>
    <row r="369">
      <c r="A369" s="16" t="inlineStr">
        <is>
          <t>## 19c. Finance KaataGo (Super Admin)</t>
        </is>
      </c>
      <c r="B369" s="17" t="inlineStr">
        <is>
          <t>TC-TB-14</t>
        </is>
      </c>
      <c r="C369" s="20" t="inlineStr">
        <is>
          <t>P2</t>
        </is>
      </c>
      <c r="D369" s="16" t="inlineStr">
        <is>
          <t>Lipat satu kategori</t>
        </is>
      </c>
      <c r="E369" s="16" t="inlineStr">
        <is>
          <t>Tetap bisa dilipat</t>
        </is>
      </c>
      <c r="F369" s="16" t="inlineStr">
        <is>
          <t>F-TB-06</t>
        </is>
      </c>
      <c r="G369" s="16" t="inlineStr"/>
      <c r="H369" s="16" t="inlineStr"/>
      <c r="I369" s="16" t="inlineStr"/>
    </row>
    <row r="370">
      <c r="A370" s="13" t="inlineStr">
        <is>
          <t>## 19c. Finance KaataGo (Super Admin)</t>
        </is>
      </c>
      <c r="B370" s="14" t="inlineStr">
        <is>
          <t>TC-TB-15</t>
        </is>
      </c>
      <c r="C370" s="15" t="inlineStr">
        <is>
          <t>P1</t>
        </is>
      </c>
      <c r="D370" s="13" t="inlineStr">
        <is>
          <t>Tablet: lihat banner promo</t>
        </is>
      </c>
      <c r="E370" s="13" t="inlineStr">
        <is>
          <t>Tingginya di bawah 45% layar, tidak mendorong menu keluar</t>
        </is>
      </c>
      <c r="F370" s="13" t="inlineStr">
        <is>
          <t>F-TB-07</t>
        </is>
      </c>
      <c r="G370" s="13" t="inlineStr"/>
      <c r="H370" s="13" t="inlineStr"/>
      <c r="I370" s="13" t="inlineStr"/>
    </row>
    <row r="371">
      <c r="A371" s="16" t="inlineStr">
        <is>
          <t>## 19c. Finance KaataGo (Super Admin)</t>
        </is>
      </c>
      <c r="B371" s="17" t="inlineStr">
        <is>
          <t>TC-TB-16</t>
        </is>
      </c>
      <c r="C371" s="20" t="inlineStr">
        <is>
          <t>P2</t>
        </is>
      </c>
      <c r="D371" s="16" t="inlineStr">
        <is>
          <t>Pasang banner yang bukan 16:9</t>
        </is>
      </c>
      <c r="E371" s="16" t="inlineStr">
        <is>
          <t>Kotaknya mengikuti gambar; tidak ada pita kabur di sisinya</t>
        </is>
      </c>
      <c r="F371" s="16" t="inlineStr">
        <is>
          <t>F-TB-07</t>
        </is>
      </c>
      <c r="G371" s="16" t="inlineStr"/>
      <c r="H371" s="16" t="inlineStr"/>
      <c r="I371" s="16" t="inlineStr"/>
    </row>
    <row r="372">
      <c r="A372" s="13" t="inlineStr">
        <is>
          <t>## 19c. Finance KaataGo (Super Admin)</t>
        </is>
      </c>
      <c r="B372" s="14" t="inlineStr">
        <is>
          <t>TC-TB-17</t>
        </is>
      </c>
      <c r="C372" s="19" t="inlineStr">
        <is>
          <t>P2</t>
        </is>
      </c>
      <c r="D372" s="13" t="inlineStr">
        <is>
          <t>Pasang banner potret ekstrem</t>
        </is>
      </c>
      <c r="E372" s="13" t="inlineStr">
        <is>
          <t>Dijepit — tidak mengambil alih halaman menu</t>
        </is>
      </c>
      <c r="F372" s="13" t="inlineStr">
        <is>
          <t>F-TB-07</t>
        </is>
      </c>
      <c r="G372" s="13" t="inlineStr"/>
      <c r="H372" s="13" t="inlineStr"/>
      <c r="I372" s="13" t="inlineStr"/>
    </row>
    <row r="373">
      <c r="A373" s="16" t="inlineStr">
        <is>
          <t>## 19c. Finance KaataGo (Super Admin)</t>
        </is>
      </c>
      <c r="B373" s="17" t="inlineStr">
        <is>
          <t>TC-TB-18</t>
        </is>
      </c>
      <c r="C373" s="18" t="inlineStr">
        <is>
          <t>P1</t>
        </is>
      </c>
      <c r="D373" s="16" t="inlineStr">
        <is>
          <t>Buka Info Resto lalu gulir</t>
        </is>
      </c>
      <c r="E373" s="16" t="inlineStr">
        <is>
          <t>"Nama Resto" tidak terpotong di tepi atas</t>
        </is>
      </c>
      <c r="F373" s="16" t="inlineStr">
        <is>
          <t>F-TB-08</t>
        </is>
      </c>
      <c r="G373" s="16" t="inlineStr"/>
      <c r="H373" s="16" t="inlineStr"/>
      <c r="I373" s="16" t="inlineStr"/>
    </row>
    <row r="374">
      <c r="A374" s="13" t="inlineStr">
        <is>
          <t>## 19c. Finance KaataGo (Super Admin)</t>
        </is>
      </c>
      <c r="B374" s="14" t="inlineStr">
        <is>
          <t>TC-TB-19</t>
        </is>
      </c>
      <c r="C374" s="15" t="inlineStr">
        <is>
          <t>P1</t>
        </is>
      </c>
      <c r="D374" s="13" t="inlineStr">
        <is>
          <t>Simpan Info Resto</t>
        </is>
      </c>
      <c r="E374" s="13" t="inlineStr">
        <is>
          <t>Nama restonya tidak berubah dan tidak kosong</t>
        </is>
      </c>
      <c r="F374" s="13" t="inlineStr">
        <is>
          <t>F-TB-08</t>
        </is>
      </c>
      <c r="G374" s="13" t="inlineStr"/>
      <c r="H374" s="13" t="inlineStr"/>
      <c r="I374" s="13" t="inlineStr"/>
    </row>
    <row r="375">
      <c r="A375" s="16" t="inlineStr">
        <is>
          <t>## 19c. Finance KaataGo (Super Admin)</t>
        </is>
      </c>
      <c r="B375" s="17" t="inlineStr">
        <is>
          <t>TC-TB-20</t>
        </is>
      </c>
      <c r="C375" s="20" t="inlineStr">
        <is>
          <t>P2</t>
        </is>
      </c>
      <c r="D375" s="16" t="inlineStr">
        <is>
          <t>Baca keterangan di bawah nama resto</t>
        </is>
      </c>
      <c r="E375" s="16" t="inlineStr">
        <is>
          <t>Menyebut KaataGo Admin dan cara menghubunginya</t>
        </is>
      </c>
      <c r="F375" s="16" t="inlineStr">
        <is>
          <t>F-TB-08</t>
        </is>
      </c>
      <c r="G375" s="16" t="inlineStr"/>
      <c r="H375" s="16" t="inlineStr"/>
      <c r="I375" s="16" t="inlineStr"/>
    </row>
    <row r="376">
      <c r="A376" s="13" t="inlineStr">
        <is>
          <t>## 19c. Finance KaataGo (Super Admin)</t>
        </is>
      </c>
      <c r="B376" s="14" t="inlineStr">
        <is>
          <t>TC-TU-01</t>
        </is>
      </c>
      <c r="C376" s="15" t="inlineStr">
        <is>
          <t>P1</t>
        </is>
      </c>
      <c r="D376" s="13" t="inlineStr">
        <is>
          <t>Owner → Saldo &amp; Pengeluaran → Top Up Saldo</t>
        </is>
      </c>
      <c r="E376" s="13" t="inlineStr">
        <is>
          <t>Tersimpan; Saldo Total naik sebesar nominalnya</t>
        </is>
      </c>
      <c r="F376" s="13" t="inlineStr">
        <is>
          <t>F-TU-01, F-TU-02</t>
        </is>
      </c>
      <c r="G376" s="13" t="inlineStr"/>
      <c r="H376" s="13" t="inlineStr"/>
      <c r="I376" s="13" t="inlineStr"/>
    </row>
    <row r="377">
      <c r="A377" s="16" t="inlineStr">
        <is>
          <t>## 19c. Finance KaataGo (Super Admin)</t>
        </is>
      </c>
      <c r="B377" s="17" t="inlineStr">
        <is>
          <t>TC-TU-01b</t>
        </is>
      </c>
      <c r="C377" s="18" t="inlineStr">
        <is>
          <t>P1</t>
        </is>
      </c>
      <c r="D377" s="16" t="inlineStr">
        <is>
          <t>Super Admin top up, periksa Saldo Total KaataGo</t>
        </is>
      </c>
      <c r="E377" s="16" t="inlineStr">
        <is>
          <t>Naik sebesar nominalnya — bukan tetap</t>
        </is>
      </c>
      <c r="F377" s="16" t="inlineStr">
        <is>
          <t>F-TU-02, F-TU-05</t>
        </is>
      </c>
      <c r="G377" s="16" t="inlineStr"/>
      <c r="H377" s="16" t="inlineStr"/>
      <c r="I377" s="16" t="inlineStr"/>
    </row>
    <row r="378">
      <c r="A378" s="13" t="inlineStr">
        <is>
          <t>## 19c. Finance KaataGo (Super Admin)</t>
        </is>
      </c>
      <c r="B378" s="14" t="inlineStr">
        <is>
          <t>TC-TU-02</t>
        </is>
      </c>
      <c r="C378" s="15" t="inlineStr">
        <is>
          <t>P1</t>
        </is>
      </c>
      <c r="D378" s="13" t="inlineStr">
        <is>
          <t>Periksa Jurnal GL sesudahnya</t>
        </is>
      </c>
      <c r="E378" s="13" t="inlineStr">
        <is>
          <t>Satu baris kredit ke GL Setoran Modal</t>
        </is>
      </c>
      <c r="F378" s="13" t="inlineStr">
        <is>
          <t>F-TU-05</t>
        </is>
      </c>
      <c r="G378" s="13" t="inlineStr"/>
      <c r="H378" s="13" t="inlineStr"/>
      <c r="I378" s="13" t="inlineStr"/>
    </row>
    <row r="379">
      <c r="A379" s="16" t="inlineStr">
        <is>
          <t>## 19c. Finance KaataGo (Super Admin)</t>
        </is>
      </c>
      <c r="B379" s="17" t="inlineStr">
        <is>
          <t>TC-TU-03</t>
        </is>
      </c>
      <c r="C379" s="18" t="inlineStr">
        <is>
          <t>P1</t>
        </is>
      </c>
      <c r="D379" s="16" t="inlineStr">
        <is>
          <t>Periksa Laporan Transaksi / Pemasukan</t>
        </is>
      </c>
      <c r="E379" s="16" t="inlineStr">
        <is>
          <t>Setoran tidak muncul sebagai penjualan</t>
        </is>
      </c>
      <c r="F379" s="16" t="inlineStr">
        <is>
          <t>F-TU-02</t>
        </is>
      </c>
      <c r="G379" s="16" t="inlineStr"/>
      <c r="H379" s="16" t="inlineStr"/>
      <c r="I379" s="16" t="inlineStr"/>
    </row>
    <row r="380">
      <c r="A380" s="13" t="inlineStr">
        <is>
          <t>## 19c. Finance KaataGo (Super Admin)</t>
        </is>
      </c>
      <c r="B380" s="14" t="inlineStr">
        <is>
          <t>TC-TU-04</t>
        </is>
      </c>
      <c r="C380" s="15" t="inlineStr">
        <is>
          <t>P1</t>
        </is>
      </c>
      <c r="D380" s="13" t="inlineStr">
        <is>
          <t>Simpan tanpa mengisi Dari</t>
        </is>
      </c>
      <c r="E380" s="13" t="inlineStr">
        <is>
          <t>Ditolak — "Sebutkan penyetornya"</t>
        </is>
      </c>
      <c r="F380" s="13" t="inlineStr">
        <is>
          <t>F-TU-03</t>
        </is>
      </c>
      <c r="G380" s="13" t="inlineStr"/>
      <c r="H380" s="13" t="inlineStr"/>
      <c r="I380" s="13" t="inlineStr"/>
    </row>
    <row r="381">
      <c r="A381" s="16" t="inlineStr">
        <is>
          <t>## 19c. Finance KaataGo (Super Admin)</t>
        </is>
      </c>
      <c r="B381" s="17" t="inlineStr">
        <is>
          <t>TC-TU-05</t>
        </is>
      </c>
      <c r="C381" s="20" t="inlineStr">
        <is>
          <t>P2</t>
        </is>
      </c>
      <c r="D381" s="16" t="inlineStr">
        <is>
          <t>Simpan tanpa bukti</t>
        </is>
      </c>
      <c r="E381" s="16" t="inlineStr">
        <is>
          <t>Tetap tersimpan — buktinya opsional</t>
        </is>
      </c>
      <c r="F381" s="16" t="inlineStr">
        <is>
          <t>F-TU-03</t>
        </is>
      </c>
      <c r="G381" s="16" t="inlineStr"/>
      <c r="H381" s="16" t="inlineStr"/>
      <c r="I381" s="16" t="inlineStr"/>
    </row>
    <row r="382">
      <c r="A382" s="13" t="inlineStr">
        <is>
          <t>## 19c. Finance KaataGo (Super Admin)</t>
        </is>
      </c>
      <c r="B382" s="14" t="inlineStr">
        <is>
          <t>TC-TU-06</t>
        </is>
      </c>
      <c r="C382" s="15" t="inlineStr">
        <is>
          <t>P1</t>
        </is>
      </c>
      <c r="D382" s="13" t="inlineStr">
        <is>
          <t>Masuk sebagai Kasir, buka layar yang sama</t>
        </is>
      </c>
      <c r="E382" s="13" t="inlineStr">
        <is>
          <t>Riwayat terlihat, tombol Top Up Saldo tidak ada</t>
        </is>
      </c>
      <c r="F382" s="13" t="inlineStr">
        <is>
          <t>F-TU-04</t>
        </is>
      </c>
      <c r="G382" s="13" t="inlineStr"/>
      <c r="H382" s="13" t="inlineStr"/>
      <c r="I382" s="13" t="inlineStr"/>
    </row>
    <row r="383">
      <c r="A383" s="16" t="inlineStr">
        <is>
          <t>## 19c. Finance KaataGo (Super Admin)</t>
        </is>
      </c>
      <c r="B383" s="17" t="inlineStr">
        <is>
          <t>TC-TU-07</t>
        </is>
      </c>
      <c r="C383" s="18" t="inlineStr">
        <is>
          <t>P1</t>
        </is>
      </c>
      <c r="D383" s="16" t="inlineStr">
        <is>
          <t>Kasir memanggil insert balance_topups lewat API</t>
        </is>
      </c>
      <c r="E383" s="16" t="inlineStr">
        <is>
          <t>Ditolak RLS</t>
        </is>
      </c>
      <c r="F383" s="16" t="inlineStr">
        <is>
          <t>F-TU-04</t>
        </is>
      </c>
      <c r="G383" s="16" t="inlineStr"/>
      <c r="H383" s="16" t="inlineStr"/>
      <c r="I383" s="16" t="inlineStr"/>
    </row>
    <row r="384">
      <c r="A384" s="13" t="inlineStr">
        <is>
          <t>## 19c. Finance KaataGo (Super Admin)</t>
        </is>
      </c>
      <c r="B384" s="14" t="inlineStr">
        <is>
          <t>TC-TU-08</t>
        </is>
      </c>
      <c r="C384" s="15" t="inlineStr">
        <is>
          <t>P1</t>
        </is>
      </c>
      <c r="D384" s="13" t="inlineStr">
        <is>
          <t>Super Admin → Finance → Saldo &amp; Pengeluaran → Top Up</t>
        </is>
      </c>
      <c r="E384" s="13" t="inlineStr">
        <is>
          <t>Saldo KaataGo naik; Jurnal GL KaataGo mencatatnya</t>
        </is>
      </c>
      <c r="F384" s="13" t="inlineStr">
        <is>
          <t>F-TU-01, F-TU-05</t>
        </is>
      </c>
      <c r="G384" s="13" t="inlineStr"/>
      <c r="H384" s="13" t="inlineStr"/>
      <c r="I384" s="13" t="inlineStr"/>
    </row>
    <row r="385">
      <c r="A385" s="16" t="inlineStr">
        <is>
          <t>## 19c. Finance KaataGo (Super Admin)</t>
        </is>
      </c>
      <c r="B385" s="17" t="inlineStr">
        <is>
          <t>TC-TU-09</t>
        </is>
      </c>
      <c r="C385" s="18" t="inlineStr">
        <is>
          <t>P1</t>
        </is>
      </c>
      <c r="D385" s="16" t="inlineStr">
        <is>
          <t>Coba ubah atau hapus baris balance_topups</t>
        </is>
      </c>
      <c r="E385" s="16" t="inlineStr">
        <is>
          <t>Ditolak — tidak ada kebijakannya</t>
        </is>
      </c>
      <c r="F385" s="16" t="inlineStr">
        <is>
          <t>F-TU-06</t>
        </is>
      </c>
      <c r="G385" s="16" t="inlineStr"/>
      <c r="H385" s="16" t="inlineStr"/>
      <c r="I385" s="16" t="inlineStr"/>
    </row>
    <row r="386">
      <c r="A386" s="13" t="inlineStr">
        <is>
          <t>## 19c. Finance KaataGo (Super Admin)</t>
        </is>
      </c>
      <c r="B386" s="14" t="inlineStr">
        <is>
          <t>TC-TU-10</t>
        </is>
      </c>
      <c r="C386" s="19" t="inlineStr">
        <is>
          <t>P2</t>
        </is>
      </c>
      <c r="D386" s="13" t="inlineStr">
        <is>
          <t>Periksa kartu Cash / Non Cash sesudah top up</t>
        </is>
      </c>
      <c r="E386" s="13" t="inlineStr">
        <is>
          <t>Non Cash naik; keduanya tetap berjumlah sama dengan Penghasilan</t>
        </is>
      </c>
      <c r="F386" s="13" t="inlineStr">
        <is>
          <t>F-TU-02</t>
        </is>
      </c>
      <c r="G386" s="13" t="inlineStr"/>
      <c r="H386" s="13" t="inlineStr"/>
      <c r="I386" s="13" t="inlineStr"/>
    </row>
    <row r="387">
      <c r="A387" s="16" t="inlineStr">
        <is>
          <t>## 19c. Finance KaataGo (Super Admin)</t>
        </is>
      </c>
      <c r="B387" s="17" t="inlineStr">
        <is>
          <t>TC-TU-11</t>
        </is>
      </c>
      <c r="C387" s="20" t="inlineStr">
        <is>
          <t>P2</t>
        </is>
      </c>
      <c r="D387" s="16" t="inlineStr">
        <is>
          <t>Buka Pemetaan GL sebagai Finance resto</t>
        </is>
      </c>
      <c r="E387" s="16" t="inlineStr">
        <is>
          <t>Ada bagian GL Modal</t>
        </is>
      </c>
      <c r="F387" s="16" t="inlineStr">
        <is>
          <t>F-TU-02</t>
        </is>
      </c>
      <c r="G387" s="16" t="inlineStr"/>
      <c r="H387" s="16" t="inlineStr"/>
      <c r="I387" s="16" t="inlineStr"/>
    </row>
    <row r="388">
      <c r="A388" s="13" t="inlineStr">
        <is>
          <t>## 19c. Finance KaataGo (Super Admin)</t>
        </is>
      </c>
      <c r="B388" s="14" t="inlineStr">
        <is>
          <t>TC-TU-12</t>
        </is>
      </c>
      <c r="C388" s="19" t="inlineStr">
        <is>
          <t>P2</t>
        </is>
      </c>
      <c r="D388" s="13" t="inlineStr">
        <is>
          <t>Buka halaman awal aplikasi</t>
        </is>
      </c>
      <c r="E388" s="13" t="inlineStr">
        <is>
          <t>Tombolnya bertuliskan KaataGo Merchant</t>
        </is>
      </c>
      <c r="F388" s="13" t="inlineStr">
        <is>
          <t>—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TC-VC-01</t>
        </is>
      </c>
      <c r="C389" s="18" t="inlineStr">
        <is>
          <t>P1</t>
        </is>
      </c>
      <c r="D389" s="16" t="inlineStr">
        <is>
          <t>Super Admin → Voucher → terbitkan Rp 1.000.000 jadi 10</t>
        </is>
      </c>
      <c r="E389" s="16" t="inlineStr">
        <is>
          <t>10 voucher @Rp 100.000; nominalnya tampil hidup di formulir</t>
        </is>
      </c>
      <c r="F389" s="16" t="inlineStr">
        <is>
          <t>F-VC-01, F-VC-02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TC-VC-02</t>
        </is>
      </c>
      <c r="C390" s="15" t="inlineStr">
        <is>
          <t>P1</t>
        </is>
      </c>
      <c r="D390" s="13" t="inlineStr">
        <is>
          <t>Terbitkan Rp 1.000.000 jadi 3</t>
        </is>
      </c>
      <c r="E390" s="13" t="inlineStr">
        <is>
          <t>@Rp 333.333, sisa Rp 1 disebutkan dan tidak ikut dijurnal</t>
        </is>
      </c>
      <c r="F390" s="13" t="inlineStr">
        <is>
          <t>F-VC-02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TC-VC-03</t>
        </is>
      </c>
      <c r="C391" s="20" t="inlineStr">
        <is>
          <t>P2</t>
        </is>
      </c>
      <c r="D391" s="16" t="inlineStr">
        <is>
          <t>Terbitkan dengan kode yang sudah dipakai</t>
        </is>
      </c>
      <c r="E391" s="16" t="inlineStr">
        <is>
          <t>Ditolak — kodenya sudah ada</t>
        </is>
      </c>
      <c r="F391" s="16" t="inlineStr">
        <is>
          <t>F-VC-01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TC-VC-04</t>
        </is>
      </c>
      <c r="C392" s="15" t="inlineStr">
        <is>
          <t>P1</t>
        </is>
      </c>
      <c r="D392" s="13" t="inlineStr">
        <is>
          <t>Periksa Jurnal GL KaataGo sesudah terbit</t>
        </is>
      </c>
      <c r="E392" s="13" t="inlineStr">
        <is>
          <t>Debit Total Saldo 1100040, kredit Voucher 1100073</t>
        </is>
      </c>
      <c r="F392" s="13" t="inlineStr">
        <is>
          <t>F-VC-13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TC-VC-05</t>
        </is>
      </c>
      <c r="C393" s="18" t="inlineStr">
        <is>
          <t>P1</t>
        </is>
      </c>
      <c r="D393" s="16" t="inlineStr">
        <is>
          <t>Pelanggan menebus kode di Voucher Saya</t>
        </is>
      </c>
      <c r="E393" s="16" t="inlineStr">
        <is>
          <t>Berhasil; voucher masuk daftar "Siap Dipakai"</t>
        </is>
      </c>
      <c r="F393" s="16" t="inlineStr">
        <is>
          <t>F-VC-07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TC-VC-06</t>
        </is>
      </c>
      <c r="C394" s="19" t="inlineStr">
        <is>
          <t>P2</t>
        </is>
      </c>
      <c r="D394" s="13" t="inlineStr">
        <is>
          <t>Ketik kodenya dengan huruf kecil</t>
        </is>
      </c>
      <c r="E394" s="13" t="inlineStr">
        <is>
          <t>Tetap diterima</t>
        </is>
      </c>
      <c r="F394" s="13" t="inlineStr">
        <is>
          <t>F-VC-07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TC-VC-07</t>
        </is>
      </c>
      <c r="C395" s="20" t="inlineStr">
        <is>
          <t>P2</t>
        </is>
      </c>
      <c r="D395" s="16" t="inlineStr">
        <is>
          <t>Ketik kode yang tidak ada</t>
        </is>
      </c>
      <c r="E395" s="16" t="inlineStr">
        <is>
          <t>"Kode voucher tidak ditemukan"</t>
        </is>
      </c>
      <c r="F395" s="16" t="inlineStr">
        <is>
          <t>F-VC-10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TC-VC-08</t>
        </is>
      </c>
      <c r="C396" s="15" t="inlineStr">
        <is>
          <t>P1</t>
        </is>
      </c>
      <c r="D396" s="13" t="inlineStr">
        <is>
          <t>Periksa Jurnal GL KaataGo sesudah ditebus</t>
        </is>
      </c>
      <c r="E396" s="13" t="inlineStr">
        <is>
          <t>Debit Voucher, kredit Voucher Redeem 1100074</t>
        </is>
      </c>
      <c r="F396" s="13" t="inlineStr">
        <is>
          <t>F-VC-13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TC-VC-09</t>
        </is>
      </c>
      <c r="C397" s="18" t="inlineStr">
        <is>
          <t>P1</t>
        </is>
      </c>
      <c r="D397" s="16" t="inlineStr">
        <is>
          <t>Orang yang sama menebus kode itu lagi</t>
        </is>
      </c>
      <c r="E397" s="16" t="inlineStr">
        <is>
          <t>Ditolak — "Voucher ini sudah kamu tebus"</t>
        </is>
      </c>
      <c r="F397" s="16" t="inlineStr">
        <is>
          <t>F-VC-08, F-VC-10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TC-VC-10</t>
        </is>
      </c>
      <c r="C398" s="15" t="inlineStr">
        <is>
          <t>P1</t>
        </is>
      </c>
      <c r="D398" s="13" t="inlineStr">
        <is>
          <t>Batch berisi 10, orang ke-11 menebus</t>
        </is>
      </c>
      <c r="E398" s="13" t="inlineStr">
        <is>
          <t>Ditolak — "Voucher ini sudah habis"</t>
        </is>
      </c>
      <c r="F398" s="13" t="inlineStr">
        <is>
          <t>F-VC-09, F-VC-10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TC-VC-11</t>
        </is>
      </c>
      <c r="C399" s="18" t="inlineStr">
        <is>
          <t>P1</t>
        </is>
      </c>
      <c r="D399" s="16" t="inlineStr">
        <is>
          <t>Dua orang menebus voucher terakhir bersamaan</t>
        </is>
      </c>
      <c r="E399" s="16" t="inlineStr">
        <is>
          <t>Hanya satu lolos; yang lain ditolak kuota habis</t>
        </is>
      </c>
      <c r="F399" s="16" t="inlineStr">
        <is>
          <t>F-VC-09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TC-VC-12</t>
        </is>
      </c>
      <c r="C400" s="19" t="inlineStr">
        <is>
          <t>P2</t>
        </is>
      </c>
      <c r="D400" s="13" t="inlineStr">
        <is>
          <t>Tebus voucher dari batch yang sudah ditutup</t>
        </is>
      </c>
      <c r="E400" s="13" t="inlineStr">
        <is>
          <t>"Voucher ini sudah ditutup"</t>
        </is>
      </c>
      <c r="F400" s="13" t="inlineStr">
        <is>
          <t>F-VC-04, F-VC-10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TC-VC-13</t>
        </is>
      </c>
      <c r="C401" s="20" t="inlineStr">
        <is>
          <t>P2</t>
        </is>
      </c>
      <c r="D401" s="16" t="inlineStr">
        <is>
          <t>Tebus voucher yang lewat masa berlaku</t>
        </is>
      </c>
      <c r="E401" s="16" t="inlineStr">
        <is>
          <t>"Voucher ini sudah kedaluwarsa"</t>
        </is>
      </c>
      <c r="F401" s="16" t="inlineStr">
        <is>
          <t>F-VC-04, F-VC-10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TC-VC-14</t>
        </is>
      </c>
      <c r="C402" s="15" t="inlineStr">
        <is>
          <t>P1</t>
        </is>
      </c>
      <c r="D402" s="13" t="inlineStr">
        <is>
          <t>Di keranjang, ketuk baris voucher</t>
        </is>
      </c>
      <c r="E402" s="13" t="inlineStr">
        <is>
          <t>Muncul pilihan voucher miliknya, bukan kolom ketik kode</t>
        </is>
      </c>
      <c r="F402" s="13" t="inlineStr">
        <is>
          <t>F-VC-11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TC-VC-15</t>
        </is>
      </c>
      <c r="C403" s="18" t="inlineStr">
        <is>
          <t>P1</t>
        </is>
      </c>
      <c r="D403" s="16" t="inlineStr">
        <is>
          <t>Voucher min belanja Rp 50.000, tagihan Rp 30.000</t>
        </is>
      </c>
      <c r="E403" s="16" t="inlineStr">
        <is>
          <t>Tidak bisa dipilih, disertai "Belanja belum mencapai minimum"</t>
        </is>
      </c>
      <c r="F403" s="16" t="inlineStr">
        <is>
          <t>F-VC-05, F-VC-10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TC-VC-16</t>
        </is>
      </c>
      <c r="C404" s="15" t="inlineStr">
        <is>
          <t>P1</t>
        </is>
      </c>
      <c r="D404" s="13" t="inlineStr">
        <is>
          <t>Voucher khusus resto A dibuka di resto B</t>
        </is>
      </c>
      <c r="E404" s="13" t="inlineStr">
        <is>
          <t>Tidak bisa dipilih — "Tidak berlaku di resto ini"</t>
        </is>
      </c>
      <c r="F404" s="13" t="inlineStr">
        <is>
          <t>F-VC-06, F-VC-10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TC-VC-17</t>
        </is>
      </c>
      <c r="C405" s="18" t="inlineStr">
        <is>
          <t>P1</t>
        </is>
      </c>
      <c r="D405" s="16" t="inlineStr">
        <is>
          <t>Voucher Rp 100.000 pada tagihan Rp 60.000</t>
        </is>
      </c>
      <c r="E405" s="16" t="inlineStr">
        <is>
          <t>Yang dibayar Rp 0; sisa Rp 40.000 tidak dikembalikan</t>
        </is>
      </c>
      <c r="F405" s="16" t="inlineStr">
        <is>
          <t>F-VC-12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TC-VC-18</t>
        </is>
      </c>
      <c r="C406" s="15" t="inlineStr">
        <is>
          <t>P1</t>
        </is>
      </c>
      <c r="D406" s="13" t="inlineStr">
        <is>
          <t>Pasang voucher lalu selesaikan pesanan</t>
        </is>
      </c>
      <c r="E406" s="13" t="inlineStr">
        <is>
          <t>Yang dibayar sudah dipotong; nominal QRIS-nya juga</t>
        </is>
      </c>
      <c r="F406" s="13" t="inlineStr">
        <is>
          <t>F-VC-11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TC-VC-19</t>
        </is>
      </c>
      <c r="C407" s="18" t="inlineStr">
        <is>
          <t>P1</t>
        </is>
      </c>
      <c r="D407" s="16" t="inlineStr">
        <is>
          <t>Ketuk Lepas setelah voucher terpasang</t>
        </is>
      </c>
      <c r="E407" s="16" t="inlineStr">
        <is>
          <t>Tagihan kembali ke nominal semula</t>
        </is>
      </c>
      <c r="F407" s="16" t="inlineStr">
        <is>
          <t>F-VC-11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TC-VC-20</t>
        </is>
      </c>
      <c r="C408" s="15" t="inlineStr">
        <is>
          <t>P1</t>
        </is>
      </c>
      <c r="D408" s="13" t="inlineStr">
        <is>
          <t>Periksa Jurnal GL KaataGo sesudah dipakai</t>
        </is>
      </c>
      <c r="E408" s="13" t="inlineStr">
        <is>
          <t>Debit Voucher Redeem, kredit GL Transfer restonya</t>
        </is>
      </c>
      <c r="F408" s="13" t="inlineStr">
        <is>
          <t>F-VC-13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TC-VC-21</t>
        </is>
      </c>
      <c r="C409" s="18" t="inlineStr">
        <is>
          <t>P1</t>
        </is>
      </c>
      <c r="D409" s="16" t="inlineStr">
        <is>
          <t>Periksa Jurnal GL restonya</t>
        </is>
      </c>
      <c r="E409" s="16" t="inlineStr">
        <is>
          <t>Ada baris masuk sebesar nilai vouchernya</t>
        </is>
      </c>
      <c r="F409" s="16" t="inlineStr">
        <is>
          <t>F-VC-13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TC-VC-22</t>
        </is>
      </c>
      <c r="C410" s="19" t="inlineStr">
        <is>
          <t>P2</t>
        </is>
      </c>
      <c r="D410" s="13" t="inlineStr">
        <is>
          <t>Voucher yang sudah dipakai dibuka lagi di keranjang</t>
        </is>
      </c>
      <c r="E410" s="13" t="inlineStr">
        <is>
          <t>Tidak muncul di daftar pilihan</t>
        </is>
      </c>
      <c r="F410" s="13" t="inlineStr">
        <is>
          <t>F-VC-11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TC-VC-23</t>
        </is>
      </c>
      <c r="C411" s="18" t="inlineStr">
        <is>
          <t>P1</t>
        </is>
      </c>
      <c r="D411" s="16" t="inlineStr">
        <is>
          <t>Jalankan expire_vouchers() — ada klaim tak terpakai</t>
        </is>
      </c>
      <c r="E411" s="16" t="inlineStr">
        <is>
          <t>Debit Voucher Redeem, kredit Total Saldo</t>
        </is>
      </c>
      <c r="F411" s="16" t="inlineStr">
        <is>
          <t>F-VC-14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TC-VC-24</t>
        </is>
      </c>
      <c r="C412" s="15" t="inlineStr">
        <is>
          <t>P1</t>
        </is>
      </c>
      <c r="D412" s="13" t="inlineStr">
        <is>
          <t>Batch kedaluwarsa dengan sisa kuota tak tertebus</t>
        </is>
      </c>
      <c r="E412" s="13" t="inlineStr">
        <is>
          <t>Debit Voucher, kredit Total Saldo sebesar sisanya</t>
        </is>
      </c>
      <c r="F412" s="13" t="inlineStr">
        <is>
          <t>F-VC-14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TC-VC-25</t>
        </is>
      </c>
      <c r="C413" s="18" t="inlineStr">
        <is>
          <t>P1</t>
        </is>
      </c>
      <c r="D413" s="16" t="inlineStr">
        <is>
          <t>Jalankan expire_vouchers() dua kali</t>
        </is>
      </c>
      <c r="E413" s="16" t="inlineStr">
        <is>
          <t>Pengembaliannya sekali saja — dijaga settled_at</t>
        </is>
      </c>
      <c r="F413" s="16" t="inlineStr">
        <is>
          <t>F-VC-14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TC-VC-26</t>
        </is>
      </c>
      <c r="C414" s="15" t="inlineStr">
        <is>
          <t>P1</t>
        </is>
      </c>
      <c r="D414" s="13" t="inlineStr">
        <is>
          <t>Jumlahkan keempat tahap untuk satu batch</t>
        </is>
      </c>
      <c r="E414" s="13" t="inlineStr">
        <is>
          <t>Debit dan kreditnya seimbang; tidak ada dana yang hilang</t>
        </is>
      </c>
      <c r="F414" s="13" t="inlineStr">
        <is>
          <t>F-VC-13, F-VC-14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TC-VC-27</t>
        </is>
      </c>
      <c r="C415" s="18" t="inlineStr">
        <is>
          <t>P1</t>
        </is>
      </c>
      <c r="D415" s="16" t="inlineStr">
        <is>
          <t>Tulis langsung ke voucher_claims lewat API</t>
        </is>
      </c>
      <c r="E415" s="16" t="inlineStr">
        <is>
          <t>Ditolak RLS — tidak ada kebijakan tulis untuk siapa pun</t>
        </is>
      </c>
      <c r="F415" s="16" t="inlineStr">
        <is>
          <t>F-VC-13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TC-VC-28</t>
        </is>
      </c>
      <c r="C416" s="15" t="inlineStr">
        <is>
          <t>P1</t>
        </is>
      </c>
      <c r="D416" s="13" t="inlineStr">
        <is>
          <t>Panggil generate_voucher_batch sebagai bukan Super Admin</t>
        </is>
      </c>
      <c r="E416" s="13" t="inlineStr">
        <is>
          <t>Ditolak — "Hanya Super Admin yang dapat menerbitkan voucher"</t>
        </is>
      </c>
      <c r="F416" s="13" t="inlineStr">
        <is>
          <t>F-VC-01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TC-VC-29</t>
        </is>
      </c>
      <c r="C417" s="20" t="inlineStr">
        <is>
          <t>P2</t>
        </is>
      </c>
      <c r="D417" s="16" t="inlineStr">
        <is>
          <t>Periksa kartu batch di layar Super Admin</t>
        </is>
      </c>
      <c r="E417" s="16" t="inlineStr">
        <is>
          <t>Sisa kuota dan nilai menggantung cocok dengan penebusnya</t>
        </is>
      </c>
      <c r="F417" s="16" t="inlineStr">
        <is>
          <t>F-VC-15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TC-VC-30</t>
        </is>
      </c>
      <c r="C418" s="19" t="inlineStr">
        <is>
          <t>P2</t>
        </is>
      </c>
      <c r="D418" s="13" t="inlineStr">
        <is>
          <t>Tutup sebuah batch yang kuotanya masih ada</t>
        </is>
      </c>
      <c r="E418" s="13" t="inlineStr">
        <is>
          <t>Tidak bisa ditebus lagi; yang sudah ditebus tetap bisa dipakai</t>
        </is>
      </c>
      <c r="F418" s="13" t="inlineStr">
        <is>
          <t>F-VC-04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TC-VC-31</t>
        </is>
      </c>
      <c r="C419" s="18" t="inlineStr">
        <is>
          <t>P1</t>
        </is>
      </c>
      <c r="D419" s="16" t="inlineStr">
        <is>
          <t>Pakai voucher, lalu periksa tabel voucher_payouts</t>
        </is>
      </c>
      <c r="E419" s="16" t="inlineStr">
        <is>
          <t>Muncul satu baris pending sebesar nilai vouchernya</t>
        </is>
      </c>
      <c r="F419" s="16" t="inlineStr">
        <is>
          <t>F-VC-16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TC-VC-32</t>
        </is>
      </c>
      <c r="C420" s="15" t="inlineStr">
        <is>
          <t>P1</t>
        </is>
      </c>
      <c r="D420" s="13" t="inlineStr">
        <is>
          <t>Jalankan settle-voucher-payouts</t>
        </is>
      </c>
      <c r="E420" s="13" t="inlineStr">
        <is>
          <t>Status jadi sent, transfer_id terisi, saldo sub-akun resto bertambah</t>
        </is>
      </c>
      <c r="F420" s="13" t="inlineStr">
        <is>
          <t>F-VC-16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TC-VC-33</t>
        </is>
      </c>
      <c r="C421" s="18" t="inlineStr">
        <is>
          <t>P1</t>
        </is>
      </c>
      <c r="D421" s="16" t="inlineStr">
        <is>
          <t>Jalankan fungsinya dua kali berturut-turut</t>
        </is>
      </c>
      <c r="E421" s="16" t="inlineStr">
        <is>
          <t>Uangnya berpindah sekali; yang kedua duplikat dan tetap sent</t>
        </is>
      </c>
      <c r="F421" s="16" t="inlineStr">
        <is>
          <t>F-VC-18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TC-VC-34</t>
        </is>
      </c>
      <c r="C422" s="15" t="inlineStr">
        <is>
          <t>P1</t>
        </is>
      </c>
      <c r="D422" s="13" t="inlineStr">
        <is>
          <t>Matikan Xendit (kunci salah), lalu jalankan</t>
        </is>
      </c>
      <c r="E422" s="13" t="inlineStr">
        <is>
          <t>Status failed, last_error menyebut sebabnya, attempts naik</t>
        </is>
      </c>
      <c r="F422" s="13" t="inlineStr">
        <is>
          <t>F-VC-17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TC-VC-35</t>
        </is>
      </c>
      <c r="C423" s="18" t="inlineStr">
        <is>
          <t>P1</t>
        </is>
      </c>
      <c r="D423" s="16" t="inlineStr">
        <is>
          <t>Perbaiki kuncinya lalu jalankan lagi</t>
        </is>
      </c>
      <c r="E423" s="16" t="inlineStr">
        <is>
          <t>Baris yang tadi gagal terkirim</t>
        </is>
      </c>
      <c r="F423" s="16" t="inlineStr">
        <is>
          <t>F-VC-17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TC-VC-36</t>
        </is>
      </c>
      <c r="C424" s="15" t="inlineStr">
        <is>
          <t>P1</t>
        </is>
      </c>
      <c r="D424" s="13" t="inlineStr">
        <is>
          <t>Pakai voucher di resto yang belum punya sub-akun</t>
        </is>
      </c>
      <c r="E424" s="13" t="inlineStr">
        <is>
          <t>Tetap pending, attempts tidak naik, tidak hilang</t>
        </is>
      </c>
      <c r="F424" s="13" t="inlineStr">
        <is>
          <t>F-VC-19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TC-VC-37</t>
        </is>
      </c>
      <c r="C425" s="18" t="inlineStr">
        <is>
          <t>P1</t>
        </is>
      </c>
      <c r="D425" s="16" t="inlineStr">
        <is>
          <t>Buat pesanan bervoucher saat Xendit mati total</t>
        </is>
      </c>
      <c r="E425" s="16" t="inlineStr">
        <is>
          <t>Pesanannya tetap tersimpan dan masuk dapur</t>
        </is>
      </c>
      <c r="F425" s="16" t="inlineStr">
        <is>
          <t>F-VC-17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TC-VC-38</t>
        </is>
      </c>
      <c r="C426" s="19" t="inlineStr">
        <is>
          <t>P2</t>
        </is>
      </c>
      <c r="D426" s="13" t="inlineStr">
        <is>
          <t>Jalankan voucher_payouts.sql di basis data yang sudah ada pemakaian</t>
        </is>
      </c>
      <c r="E426" s="13" t="inlineStr">
        <is>
          <t>Klaim used lama ikut terantre</t>
        </is>
      </c>
      <c r="F426" s="13" t="inlineStr">
        <is>
          <t>F-VC-16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TC-VC-39</t>
        </is>
      </c>
      <c r="C427" s="18" t="inlineStr">
        <is>
          <t>P1</t>
        </is>
      </c>
      <c r="D427" s="16" t="inlineStr">
        <is>
          <t>Tulis langsung ke voucher_payouts lewat API</t>
        </is>
      </c>
      <c r="E427" s="16" t="inlineStr">
        <is>
          <t>Ditolak — tidak ada kebijakan tulis untuk siapa pun</t>
        </is>
      </c>
      <c r="F427" s="16" t="inlineStr">
        <is>
          <t>F-VC-18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TC-VC-40</t>
        </is>
      </c>
      <c r="C428" s="19" t="inlineStr">
        <is>
          <t>P2</t>
        </is>
      </c>
      <c r="D428" s="13" t="inlineStr">
        <is>
          <t>Baca voucher_payout_config sebagai Super Admin</t>
        </is>
      </c>
      <c r="E428" s="13" t="inlineStr">
        <is>
          <t>Kosong — kunci layanan tidak terbaca peran mana pun</t>
        </is>
      </c>
      <c r="F428" s="13" t="inlineStr">
        <is>
          <t>F-VC-16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TC-VC-41</t>
        </is>
      </c>
      <c r="C429" s="20" t="inlineStr">
        <is>
          <t>P2</t>
        </is>
      </c>
      <c r="D429" s="16" t="inlineStr">
        <is>
          <t>Jalankan penjadwal sebelum function_url diisi</t>
        </is>
      </c>
      <c r="E429" s="16" t="inlineStr">
        <is>
          <t>Berjalan tanpa melakukan apa-apa, tanpa galat</t>
        </is>
      </c>
      <c r="F429" s="16" t="inlineStr">
        <is>
          <t>F-VC-17</t>
        </is>
      </c>
      <c r="G429" s="16" t="inlineStr"/>
      <c r="H429" s="16" t="inlineStr"/>
      <c r="I429" s="16" t="inlineStr"/>
    </row>
    <row r="430">
      <c r="A430" s="13" t="inlineStr">
        <is>
          <t>## 19d. Voucher Pelanggan</t>
        </is>
      </c>
      <c r="B430" s="14" t="inlineStr">
        <is>
          <t>TC-VC-42</t>
        </is>
      </c>
      <c r="C430" s="15" t="inlineStr">
        <is>
          <t>P1</t>
        </is>
      </c>
      <c r="D430" s="13" t="inlineStr">
        <is>
          <t>Bandingkan total sent dengan mutasi transfer di dashboard Xendit</t>
        </is>
      </c>
      <c r="E430" s="13" t="inlineStr">
        <is>
          <t>Cocok baris per baris lewat transfer_id</t>
        </is>
      </c>
      <c r="F430" s="13" t="inlineStr">
        <is>
          <t>F-VC-16</t>
        </is>
      </c>
      <c r="G430" s="13" t="inlineStr"/>
      <c r="H430" s="13" t="inlineStr"/>
      <c r="I430" s="13" t="inlineStr"/>
    </row>
    <row r="431">
      <c r="A431" s="16" t="inlineStr">
        <is>
          <t>## 19d. Voucher Pelanggan</t>
        </is>
      </c>
      <c r="B431" s="17" t="inlineStr">
        <is>
          <t>TC-VC-43</t>
        </is>
      </c>
      <c r="C431" s="18" t="inlineStr">
        <is>
          <t>P1</t>
        </is>
      </c>
      <c r="D431" s="16" t="inlineStr">
        <is>
          <t>Jalankan pencairan saat xenPlatform belum aktif</t>
        </is>
      </c>
      <c r="E431" s="16" t="inlineStr">
        <is>
          <t>Seluruh antrean tetap pending, attempts nol, tidak ada galat</t>
        </is>
      </c>
      <c r="F431" s="16" t="inlineStr">
        <is>
          <t>F-VC-19</t>
        </is>
      </c>
      <c r="G431" s="16" t="inlineStr"/>
      <c r="H431" s="16" t="inlineStr"/>
      <c r="I431" s="16" t="inlineStr"/>
    </row>
    <row r="432">
      <c r="A432" s="13" t="inlineStr">
        <is>
          <t>## 19d. Voucher Pelanggan</t>
        </is>
      </c>
      <c r="B432" s="14" t="inlineStr">
        <is>
          <t>TC-VC-44</t>
        </is>
      </c>
      <c r="C432" s="19" t="inlineStr">
        <is>
          <t>P2</t>
        </is>
      </c>
      <c r="D432" s="13" t="inlineStr">
        <is>
          <t>Aktifkan xenPlatform + pasang sub-akun, lalu tunggu penjadwal</t>
        </is>
      </c>
      <c r="E432" s="13" t="inlineStr">
        <is>
          <t>Tunggakan lama ikut terangkut tanpa dijalankan ulang manual</t>
        </is>
      </c>
      <c r="F432" s="13" t="inlineStr">
        <is>
          <t>F-VC-16, F-VC-17</t>
        </is>
      </c>
      <c r="G432" s="13" t="inlineStr"/>
      <c r="H432" s="13" t="inlineStr"/>
      <c r="I432" s="13" t="inlineStr"/>
    </row>
    <row r="433">
      <c r="A433" s="16" t="inlineStr">
        <is>
          <t>## 19d. Voucher Pelanggan</t>
        </is>
      </c>
      <c r="B433" s="17" t="inlineStr">
        <is>
          <t>TC-VC-45</t>
        </is>
      </c>
      <c r="C433" s="18" t="inlineStr">
        <is>
          <t>P1</t>
        </is>
      </c>
      <c r="D433" s="16" t="inlineStr">
        <is>
          <t>Super Admin → Finance → Pemetaan GL</t>
        </is>
      </c>
      <c r="E433" s="16" t="inlineStr">
        <is>
          <t>Ada bagian GL Voucher berisi GL Voucher dan GL Voucher Redeem</t>
        </is>
      </c>
      <c r="F433" s="16" t="inlineStr">
        <is>
          <t>F-VC-13</t>
        </is>
      </c>
      <c r="G433" s="16" t="inlineStr"/>
      <c r="H433" s="16" t="inlineStr"/>
      <c r="I433" s="16" t="inlineStr"/>
    </row>
    <row r="434">
      <c r="A434" s="13" t="inlineStr">
        <is>
          <t>## 19d. Voucher Pelanggan</t>
        </is>
      </c>
      <c r="B434" s="14" t="inlineStr">
        <is>
          <t>TC-VC-46</t>
        </is>
      </c>
      <c r="C434" s="15" t="inlineStr">
        <is>
          <t>P1</t>
        </is>
      </c>
      <c r="D434" s="13" t="inlineStr">
        <is>
          <t>Buka Pemetaan GL sebagai Finance resto biasa</t>
        </is>
      </c>
      <c r="E434" s="13" t="inlineStr">
        <is>
          <t>Bagian GL Voucher tidak muncul, penanda "belum dipetakan" tidak berbunyi</t>
        </is>
      </c>
      <c r="F434" s="13" t="inlineStr">
        <is>
          <t>F-VC-13</t>
        </is>
      </c>
      <c r="G434" s="13" t="inlineStr"/>
      <c r="H434" s="13" t="inlineStr"/>
      <c r="I434" s="13" t="inlineStr"/>
    </row>
    <row r="435">
      <c r="A435" s="16" t="inlineStr">
        <is>
          <t>## 19d. Voucher Pelanggan</t>
        </is>
      </c>
      <c r="B435" s="17" t="inlineStr">
        <is>
          <t>TC-VC-47</t>
        </is>
      </c>
      <c r="C435" s="20" t="inlineStr">
        <is>
          <t>P2</t>
        </is>
      </c>
      <c r="D435" s="16" t="inlineStr">
        <is>
          <t>Ubah nomor GL Voucher lalu simpan</t>
        </is>
      </c>
      <c r="E435" s="16" t="inlineStr">
        <is>
          <t>Tersimpan, dan jurnal voucher berikutnya memakai nomor baru</t>
        </is>
      </c>
      <c r="F435" s="16" t="inlineStr">
        <is>
          <t>F-VC-13</t>
        </is>
      </c>
      <c r="G435" s="16" t="inlineStr"/>
      <c r="H435" s="16" t="inlineStr"/>
      <c r="I435" s="16" t="inlineStr"/>
    </row>
    <row r="436">
      <c r="A436" s="13" t="inlineStr">
        <is>
          <t>## 19d. Voucher Pelanggan</t>
        </is>
      </c>
      <c r="B436" s="14" t="inlineStr">
        <is>
          <t>TC-VC-48</t>
        </is>
      </c>
      <c r="C436" s="15" t="inlineStr">
        <is>
          <t>P1</t>
        </is>
      </c>
      <c r="D436" s="13" t="inlineStr">
        <is>
          <t>Terbitkan batch, lalu buka Kotak Masuk pelanggan</t>
        </is>
      </c>
      <c r="E436" s="13" t="inlineStr">
        <is>
          <t>Ada kabar di tab Umum berisi kode, nilai, kuota, dan tenggat</t>
        </is>
      </c>
      <c r="F436" s="13" t="inlineStr">
        <is>
          <t>F-VC-20, F-VC-21</t>
        </is>
      </c>
      <c r="G436" s="13" t="inlineStr"/>
      <c r="H436" s="13" t="inlineStr"/>
      <c r="I436" s="13" t="inlineStr"/>
    </row>
    <row r="437">
      <c r="A437" s="16" t="inlineStr">
        <is>
          <t>## 19d. Voucher Pelanggan</t>
        </is>
      </c>
      <c r="B437" s="17" t="inlineStr">
        <is>
          <t>TC-VC-49</t>
        </is>
      </c>
      <c r="C437" s="18" t="inlineStr">
        <is>
          <t>P1</t>
        </is>
      </c>
      <c r="D437" s="16" t="inlineStr">
        <is>
          <t>Terbitkan batch dengan HP pelanggan terkunci</t>
        </is>
      </c>
      <c r="E437" s="16" t="inlineStr">
        <is>
          <t>Push muncul di layar kunci</t>
        </is>
      </c>
      <c r="F437" s="16" t="inlineStr">
        <is>
          <t>F-VC-20</t>
        </is>
      </c>
      <c r="G437" s="16" t="inlineStr"/>
      <c r="H437" s="16" t="inlineStr"/>
      <c r="I437" s="16" t="inlineStr"/>
    </row>
    <row r="438">
      <c r="A438" s="13" t="inlineStr">
        <is>
          <t>## 19d. Voucher Pelanggan</t>
        </is>
      </c>
      <c r="B438" s="14" t="inlineStr">
        <is>
          <t>TC-VC-50</t>
        </is>
      </c>
      <c r="C438" s="19" t="inlineStr">
        <is>
          <t>P2</t>
        </is>
      </c>
      <c r="D438" s="13" t="inlineStr">
        <is>
          <t>Terbitkan batch tanpa minimal belanja</t>
        </is>
      </c>
      <c r="E438" s="13" t="inlineStr">
        <is>
          <t>Kalimat minimal belanja tidak muncul di pengumuman</t>
        </is>
      </c>
      <c r="F438" s="13" t="inlineStr">
        <is>
          <t>F-VC-21</t>
        </is>
      </c>
      <c r="G438" s="13" t="inlineStr"/>
      <c r="H438" s="13" t="inlineStr"/>
      <c r="I438" s="13" t="inlineStr"/>
    </row>
    <row r="439">
      <c r="A439" s="16" t="inlineStr">
        <is>
          <t>## 19d. Voucher Pelanggan</t>
        </is>
      </c>
      <c r="B439" s="17" t="inlineStr">
        <is>
          <t>TC-VC-51</t>
        </is>
      </c>
      <c r="C439" s="20" t="inlineStr">
        <is>
          <t>P2</t>
        </is>
      </c>
      <c r="D439" s="16" t="inlineStr">
        <is>
          <t>Buka Kotak Masuk sebagai pegawai resto</t>
        </is>
      </c>
      <c r="E439" s="16" t="inlineStr">
        <is>
          <t>Kabar voucher tidak muncul — audiensnya pelanggan</t>
        </is>
      </c>
      <c r="F439" s="16" t="inlineStr">
        <is>
          <t>F-VC-20</t>
        </is>
      </c>
      <c r="G439" s="16" t="inlineStr"/>
      <c r="H439" s="16" t="inlineStr"/>
      <c r="I439" s="16" t="inlineStr"/>
    </row>
    <row r="440">
      <c r="A440" s="13" t="inlineStr">
        <is>
          <t>## 19d. Voucher Pelanggan</t>
        </is>
      </c>
      <c r="B440" s="14" t="inlineStr">
        <is>
          <t>TC-VC-52</t>
        </is>
      </c>
      <c r="C440" s="19" t="inlineStr">
        <is>
          <t>P2</t>
        </is>
      </c>
      <c r="D440" s="13" t="inlineStr">
        <is>
          <t>Ketik nama resto di kolom cari pada form terbit</t>
        </is>
      </c>
      <c r="E440" s="13" t="inlineStr">
        <is>
          <t>Daftarnya menyusut sesuai kata kuncinya</t>
        </is>
      </c>
      <c r="F440" s="13" t="inlineStr">
        <is>
          <t>F-VC-22</t>
        </is>
      </c>
      <c r="G440" s="13" t="inlineStr"/>
      <c r="H440" s="13" t="inlineStr"/>
      <c r="I440" s="13" t="inlineStr"/>
    </row>
    <row r="441">
      <c r="A441" s="16" t="inlineStr">
        <is>
          <t>## 19d. Voucher Pelanggan</t>
        </is>
      </c>
      <c r="B441" s="17" t="inlineStr">
        <is>
          <t>TC-VC-53</t>
        </is>
      </c>
      <c r="C441" s="18" t="inlineStr">
        <is>
          <t>P1</t>
        </is>
      </c>
      <c r="D441" s="16" t="inlineStr">
        <is>
          <t>Centang 3 resto, lalu cari kata yang menyaringnya keluar</t>
        </is>
      </c>
      <c r="E441" s="16" t="inlineStr">
        <is>
          <t>Ketiganya tetap terpilih; hitungannya tidak berubah</t>
        </is>
      </c>
      <c r="F441" s="16" t="inlineStr">
        <is>
          <t>F-VC-22</t>
        </is>
      </c>
      <c r="G441" s="16" t="inlineStr"/>
      <c r="H441" s="16" t="inlineStr"/>
      <c r="I441" s="16" t="inlineStr"/>
    </row>
    <row r="442">
      <c r="A442" s="13" t="inlineStr">
        <is>
          <t>## 19d. Voucher Pelanggan</t>
        </is>
      </c>
      <c r="B442" s="14" t="inlineStr">
        <is>
          <t>TC-VC-54</t>
        </is>
      </c>
      <c r="C442" s="15" t="inlineStr">
        <is>
          <t>P1</t>
        </is>
      </c>
      <c r="D442" s="13" t="inlineStr">
        <is>
          <t>Saring daftarnya, lalu ketuk Pilih semua</t>
        </is>
      </c>
      <c r="E442" s="13" t="inlineStr">
        <is>
          <t>Hanya yang tampil tercentang, bukan seluruh resto</t>
        </is>
      </c>
      <c r="F442" s="13" t="inlineStr">
        <is>
          <t>F-VC-22</t>
        </is>
      </c>
      <c r="G442" s="13" t="inlineStr"/>
      <c r="H442" s="13" t="inlineStr"/>
      <c r="I442" s="13" t="inlineStr"/>
    </row>
    <row r="443">
      <c r="A443" s="16" t="inlineStr">
        <is>
          <t>## 19d. Voucher Pelanggan</t>
        </is>
      </c>
      <c r="B443" s="17" t="inlineStr">
        <is>
          <t>TC-VC-55</t>
        </is>
      </c>
      <c r="C443" s="20" t="inlineStr">
        <is>
          <t>P2</t>
        </is>
      </c>
      <c r="D443" s="16" t="inlineStr">
        <is>
          <t>Ketuk Lepas semua saat semua yang tampil tercentang</t>
        </is>
      </c>
      <c r="E443" s="16" t="inlineStr">
        <is>
          <t>Yang tampil terlepas; pilihan di luar saringan tetap</t>
        </is>
      </c>
      <c r="F443" s="16" t="inlineStr">
        <is>
          <t>F-VC-22</t>
        </is>
      </c>
      <c r="G443" s="16" t="inlineStr"/>
      <c r="H443" s="16" t="inlineStr"/>
      <c r="I443" s="16" t="inlineStr"/>
    </row>
    <row r="444">
      <c r="A444" s="13" t="inlineStr">
        <is>
          <t>## 19d. Voucher Pelanggan</t>
        </is>
      </c>
      <c r="B444" s="14" t="inlineStr">
        <is>
          <t>TC-VC-56</t>
        </is>
      </c>
      <c r="C444" s="19" t="inlineStr">
        <is>
          <t>P2</t>
        </is>
      </c>
      <c r="D444" s="13" t="inlineStr">
        <is>
          <t>Cari nama resto yang tidak ada</t>
        </is>
      </c>
      <c r="E444" s="13" t="inlineStr">
        <is>
          <t>Muncul "Tidak ada resto bernama itu"</t>
        </is>
      </c>
      <c r="F444" s="13" t="inlineStr">
        <is>
          <t>F-VC-22</t>
        </is>
      </c>
      <c r="G444" s="13" t="inlineStr"/>
      <c r="H444" s="13" t="inlineStr"/>
      <c r="I444" s="13" t="inlineStr"/>
    </row>
    <row r="445">
      <c r="A445" s="16" t="inlineStr">
        <is>
          <t>## 19d. Voucher Pelanggan</t>
        </is>
      </c>
      <c r="B445" s="17" t="inlineStr">
        <is>
          <t>TC-VC-57</t>
        </is>
      </c>
      <c r="C445" s="18" t="inlineStr">
        <is>
          <t>P1</t>
        </is>
      </c>
      <c r="D445" s="16" t="inlineStr">
        <is>
          <t>Terbitkan batch berbanner, lalu buka Kotak Masuk pelanggan</t>
        </is>
      </c>
      <c r="E445" s="16" t="inlineStr">
        <is>
          <t>Gambarnya tampil bersama kabarnya</t>
        </is>
      </c>
      <c r="F445" s="16" t="inlineStr">
        <is>
          <t>F-VC-23</t>
        </is>
      </c>
      <c r="G445" s="16" t="inlineStr"/>
      <c r="H445" s="16" t="inlineStr"/>
      <c r="I445" s="16" t="inlineStr"/>
    </row>
    <row r="446">
      <c r="A446" s="13" t="inlineStr">
        <is>
          <t>## 19d. Voucher Pelanggan</t>
        </is>
      </c>
      <c r="B446" s="14" t="inlineStr">
        <is>
          <t>TC-VC-58</t>
        </is>
      </c>
      <c r="C446" s="19" t="inlineStr">
        <is>
          <t>P2</t>
        </is>
      </c>
      <c r="D446" s="13" t="inlineStr">
        <is>
          <t>Pilih gambar potret, lihat pratinjaunya</t>
        </is>
      </c>
      <c r="E446" s="13" t="inlineStr">
        <is>
          <t>Dipotong 16:9, sama dengan yang nanti muncul di kotak masuk</t>
        </is>
      </c>
      <c r="F446" s="13" t="inlineStr">
        <is>
          <t>F-VC-23</t>
        </is>
      </c>
      <c r="G446" s="13" t="inlineStr"/>
      <c r="H446" s="13" t="inlineStr"/>
      <c r="I446" s="13" t="inlineStr"/>
    </row>
    <row r="447">
      <c r="A447" s="16" t="inlineStr">
        <is>
          <t>## 19d. Voucher Pelanggan</t>
        </is>
      </c>
      <c r="B447" s="17" t="inlineStr">
        <is>
          <t>TC-VC-59</t>
        </is>
      </c>
      <c r="C447" s="20" t="inlineStr">
        <is>
          <t>P2</t>
        </is>
      </c>
      <c r="D447" s="16" t="inlineStr">
        <is>
          <t>Terbitkan batch tanpa banner</t>
        </is>
      </c>
      <c r="E447" s="16" t="inlineStr">
        <is>
          <t>Kabarnya tetap terkirim, tanpa gambar</t>
        </is>
      </c>
      <c r="F447" s="16" t="inlineStr">
        <is>
          <t>F-VC-23</t>
        </is>
      </c>
      <c r="G447" s="16" t="inlineStr"/>
      <c r="H447" s="16" t="inlineStr"/>
      <c r="I447" s="16" t="inlineStr"/>
    </row>
    <row r="448">
      <c r="A448" s="13" t="inlineStr">
        <is>
          <t>## 19d. Voucher Pelanggan</t>
        </is>
      </c>
      <c r="B448" s="14" t="inlineStr">
        <is>
          <t>TC-VC-60</t>
        </is>
      </c>
      <c r="C448" s="15" t="inlineStr">
        <is>
          <t>P1</t>
        </is>
      </c>
      <c r="D448" s="13" t="inlineStr">
        <is>
          <t>Cari tombol Hapus pada batch yang masih berjalan</t>
        </is>
      </c>
      <c r="E448" s="13" t="inlineStr">
        <is>
          <t>Tidak ada — harus ditutup dulu</t>
        </is>
      </c>
      <c r="F448" s="13" t="inlineStr">
        <is>
          <t>F-VC-24</t>
        </is>
      </c>
      <c r="G448" s="13" t="inlineStr"/>
      <c r="H448" s="13" t="inlineStr"/>
      <c r="I448" s="13" t="inlineStr"/>
    </row>
    <row r="449">
      <c r="A449" s="16" t="inlineStr">
        <is>
          <t>## 19d. Voucher Pelanggan</t>
        </is>
      </c>
      <c r="B449" s="17" t="inlineStr">
        <is>
          <t>TC-VC-61</t>
        </is>
      </c>
      <c r="C449" s="18" t="inlineStr">
        <is>
          <t>P1</t>
        </is>
      </c>
      <c r="D449" s="16" t="inlineStr">
        <is>
          <t>Tutup batch yang belum ada penebusnya, lalu hapus</t>
        </is>
      </c>
      <c r="E449" s="16" t="inlineStr">
        <is>
          <t>Terhapus; dananya kembali ke GL Total Saldo</t>
        </is>
      </c>
      <c r="F449" s="16" t="inlineStr">
        <is>
          <t>F-VC-24</t>
        </is>
      </c>
      <c r="G449" s="16" t="inlineStr"/>
      <c r="H449" s="16" t="inlineStr"/>
      <c r="I449" s="16" t="inlineStr"/>
    </row>
    <row r="450">
      <c r="A450" s="13" t="inlineStr">
        <is>
          <t>## 19d. Voucher Pelanggan</t>
        </is>
      </c>
      <c r="B450" s="14" t="inlineStr">
        <is>
          <t>TC-VC-62</t>
        </is>
      </c>
      <c r="C450" s="15" t="inlineStr">
        <is>
          <t>P1</t>
        </is>
      </c>
      <c r="D450" s="13" t="inlineStr">
        <is>
          <t>Periksa Kotak Masuk pelanggan sesudah batch dihapus</t>
        </is>
      </c>
      <c r="E450" s="13" t="inlineStr">
        <is>
          <t>Kabar vouchernya ikut hilang</t>
        </is>
      </c>
      <c r="F450" s="13" t="inlineStr">
        <is>
          <t>F-VC-24</t>
        </is>
      </c>
      <c r="G450" s="13" t="inlineStr"/>
      <c r="H450" s="13" t="inlineStr"/>
      <c r="I450" s="13" t="inlineStr"/>
    </row>
    <row r="451">
      <c r="A451" s="16" t="inlineStr">
        <is>
          <t>## 19d. Voucher Pelanggan</t>
        </is>
      </c>
      <c r="B451" s="17" t="inlineStr">
        <is>
          <t>TC-VC-63</t>
        </is>
      </c>
      <c r="C451" s="18" t="inlineStr">
        <is>
          <t>P1</t>
        </is>
      </c>
      <c r="D451" s="16" t="inlineStr">
        <is>
          <t>Panggil delete_voucher_batch untuk batch yang sudah ada penebusnya</t>
        </is>
      </c>
      <c r="E451" s="16" t="inlineStr">
        <is>
          <t>Ditolak, dengan jumlah penebusnya disebut</t>
        </is>
      </c>
      <c r="F451" s="16" t="inlineStr">
        <is>
          <t>F-VC-24</t>
        </is>
      </c>
      <c r="G451" s="16" t="inlineStr"/>
      <c r="H451" s="16" t="inlineStr"/>
      <c r="I451" s="16" t="inlineStr"/>
    </row>
    <row r="452">
      <c r="A452" s="13" t="inlineStr">
        <is>
          <t>## 19d. Voucher Pelanggan</t>
        </is>
      </c>
      <c r="B452" s="14" t="inlineStr">
        <is>
          <t>TC-VC-64</t>
        </is>
      </c>
      <c r="C452" s="15" t="inlineStr">
        <is>
          <t>P1</t>
        </is>
      </c>
      <c r="D452" s="13" t="inlineStr">
        <is>
          <t>Panggil delete_voucher_batch sebagai bukan Super Admin</t>
        </is>
      </c>
      <c r="E452" s="13" t="inlineStr">
        <is>
          <t>Ditolak</t>
        </is>
      </c>
      <c r="F452" s="13" t="inlineStr">
        <is>
          <t>F-VC-24</t>
        </is>
      </c>
      <c r="G452" s="13" t="inlineStr"/>
      <c r="H452" s="13" t="inlineStr"/>
      <c r="I452" s="13" t="inlineStr"/>
    </row>
    <row r="453">
      <c r="A453" s="16" t="inlineStr">
        <is>
          <t>## 19d. Voucher Pelanggan</t>
        </is>
      </c>
      <c r="B453" s="17" t="inlineStr">
        <is>
          <t>TC-VC-65</t>
        </is>
      </c>
      <c r="C453" s="20" t="inlineStr">
        <is>
          <t>P2</t>
        </is>
      </c>
      <c r="D453" s="16" t="inlineStr">
        <is>
          <t>Hapus batch yang sudah pernah disettle penjadwal</t>
        </is>
      </c>
      <c r="E453" s="16" t="inlineStr">
        <is>
          <t>Dananya tidak dikembalikan dua kali</t>
        </is>
      </c>
      <c r="F453" s="16" t="inlineStr">
        <is>
          <t>F-VC-24</t>
        </is>
      </c>
      <c r="G453" s="16" t="inlineStr"/>
      <c r="H453" s="16" t="inlineStr"/>
      <c r="I453" s="16" t="inlineStr"/>
    </row>
    <row r="454">
      <c r="A454" s="13" t="inlineStr">
        <is>
          <t>## 19d. Voucher Pelanggan</t>
        </is>
      </c>
      <c r="B454" s="14" t="inlineStr">
        <is>
          <t>TC-VC-66</t>
        </is>
      </c>
      <c r="C454" s="15" t="inlineStr">
        <is>
          <t>P1</t>
        </is>
      </c>
      <c r="D454" s="13" t="inlineStr">
        <is>
          <t>Ketuk Penebus pada sebuah batch</t>
        </is>
      </c>
      <c r="E454" s="13" t="inlineStr">
        <is>
          <t>Daftar email penebut berikut tanggal tebus dan statusnya</t>
        </is>
      </c>
      <c r="F454" s="13" t="inlineStr">
        <is>
          <t>F-VC-25</t>
        </is>
      </c>
      <c r="G454" s="13" t="inlineStr"/>
      <c r="H454" s="13" t="inlineStr"/>
      <c r="I454" s="13" t="inlineStr"/>
    </row>
    <row r="455">
      <c r="A455" s="16" t="inlineStr">
        <is>
          <t>## 19d. Voucher Pelanggan</t>
        </is>
      </c>
      <c r="B455" s="17" t="inlineStr">
        <is>
          <t>TC-VC-67</t>
        </is>
      </c>
      <c r="C455" s="18" t="inlineStr">
        <is>
          <t>P1</t>
        </is>
      </c>
      <c r="D455" s="16" t="inlineStr">
        <is>
          <t>Periksa ringkasan di atas daftar penebus</t>
        </is>
      </c>
      <c r="E455" s="16" t="inlineStr">
        <is>
          <t>Dipakai / Menggantung / Hangus berjumlah sama dengan barisnya</t>
        </is>
      </c>
      <c r="F455" s="16" t="inlineStr">
        <is>
          <t>F-VC-25</t>
        </is>
      </c>
      <c r="G455" s="16" t="inlineStr"/>
      <c r="H455" s="16" t="inlineStr"/>
      <c r="I455" s="16" t="inlineStr"/>
    </row>
    <row r="456">
      <c r="A456" s="13" t="inlineStr">
        <is>
          <t>## 19d. Voucher Pelanggan</t>
        </is>
      </c>
      <c r="B456" s="14" t="inlineStr">
        <is>
          <t>TC-VC-68</t>
        </is>
      </c>
      <c r="C456" s="15" t="inlineStr">
        <is>
          <t>P1</t>
        </is>
      </c>
      <c r="D456" s="13" t="inlineStr">
        <is>
          <t>Lewati tanggal kedaluwarsa sebelum penjadwal berjalan</t>
        </is>
      </c>
      <c r="E456" s="13" t="inlineStr">
        <is>
          <t>Statusnya sudah Hangus, bukan Belum Dipakai</t>
        </is>
      </c>
      <c r="F456" s="13" t="inlineStr">
        <is>
          <t>F-VC-25</t>
        </is>
      </c>
      <c r="G456" s="13" t="inlineStr"/>
      <c r="H456" s="13" t="inlineStr"/>
      <c r="I456" s="13" t="inlineStr"/>
    </row>
    <row r="457">
      <c r="A457" s="16" t="inlineStr">
        <is>
          <t>## 19d. Voucher Pelanggan</t>
        </is>
      </c>
      <c r="B457" s="17" t="inlineStr">
        <is>
          <t>TC-VC-69</t>
        </is>
      </c>
      <c r="C457" s="18" t="inlineStr">
        <is>
          <t>P1</t>
        </is>
      </c>
      <c r="D457" s="16" t="inlineStr">
        <is>
          <t>Terbitkan batch dengan ceklis Khusus pengguna baru</t>
        </is>
      </c>
      <c r="E457" s="16" t="inlineStr">
        <is>
          <t>Tersimpan; kartunya menyebut "khusus pengguna baru"</t>
        </is>
      </c>
      <c r="F457" s="16" t="inlineStr">
        <is>
          <t>F-VC-26</t>
        </is>
      </c>
      <c r="G457" s="16" t="inlineStr"/>
      <c r="H457" s="16" t="inlineStr"/>
      <c r="I457" s="16" t="inlineStr"/>
    </row>
    <row r="458">
      <c r="A458" s="13" t="inlineStr">
        <is>
          <t>## 19d. Voucher Pelanggan</t>
        </is>
      </c>
      <c r="B458" s="14" t="inlineStr">
        <is>
          <t>TC-VC-70</t>
        </is>
      </c>
      <c r="C458" s="15" t="inlineStr">
        <is>
          <t>P1</t>
        </is>
      </c>
      <c r="D458" s="13" t="inlineStr">
        <is>
          <t>Akun yang belum pernah memesan menebusnya</t>
        </is>
      </c>
      <c r="E458" s="13" t="inlineStr">
        <is>
          <t>Berhasil</t>
        </is>
      </c>
      <c r="F458" s="13" t="inlineStr">
        <is>
          <t>F-VC-26</t>
        </is>
      </c>
      <c r="G458" s="13" t="inlineStr"/>
      <c r="H458" s="13" t="inlineStr"/>
      <c r="I458" s="13" t="inlineStr"/>
    </row>
    <row r="459">
      <c r="A459" s="16" t="inlineStr">
        <is>
          <t>## 19d. Voucher Pelanggan</t>
        </is>
      </c>
      <c r="B459" s="17" t="inlineStr">
        <is>
          <t>TC-VC-71</t>
        </is>
      </c>
      <c r="C459" s="18" t="inlineStr">
        <is>
          <t>P1</t>
        </is>
      </c>
      <c r="D459" s="16" t="inlineStr">
        <is>
          <t>Akun yang pernah punya pesanan terbayar menebusnya</t>
        </is>
      </c>
      <c r="E459" s="16" t="inlineStr">
        <is>
          <t>Ditolak — "hanya untuk pengguna baru KaataGo"</t>
        </is>
      </c>
      <c r="F459" s="16" t="inlineStr">
        <is>
          <t>F-VC-26, F-VC-27</t>
        </is>
      </c>
      <c r="G459" s="16" t="inlineStr"/>
      <c r="H459" s="16" t="inlineStr"/>
      <c r="I459" s="16" t="inlineStr"/>
    </row>
    <row r="460">
      <c r="A460" s="13" t="inlineStr">
        <is>
          <t>## 19d. Voucher Pelanggan</t>
        </is>
      </c>
      <c r="B460" s="14" t="inlineStr">
        <is>
          <t>TC-VC-72</t>
        </is>
      </c>
      <c r="C460" s="15" t="inlineStr">
        <is>
          <t>P1</t>
        </is>
      </c>
      <c r="D460" s="13" t="inlineStr">
        <is>
          <t>Akun yang pesanannya semua batal menebusnya</t>
        </is>
      </c>
      <c r="E460" s="13" t="inlineStr">
        <is>
          <t>Berhasil — batal tidak menghilangkan status pengguna baru</t>
        </is>
      </c>
      <c r="F460" s="13" t="inlineStr">
        <is>
          <t>F-VC-26</t>
        </is>
      </c>
      <c r="G460" s="13" t="inlineStr"/>
      <c r="H460" s="13" t="inlineStr"/>
      <c r="I460" s="13" t="inlineStr"/>
    </row>
    <row r="461">
      <c r="A461" s="16" t="inlineStr">
        <is>
          <t>## 19d. Voucher Pelanggan</t>
        </is>
      </c>
      <c r="B461" s="17" t="inlineStr">
        <is>
          <t>TC-VC-73</t>
        </is>
      </c>
      <c r="C461" s="18" t="inlineStr">
        <is>
          <t>P1</t>
        </is>
      </c>
      <c r="D461" s="16" t="inlineStr">
        <is>
          <t>Akun yang pernah memesan di resto lain saja</t>
        </is>
      </c>
      <c r="E461" s="16" t="inlineStr">
        <is>
          <t>Ditolak — batasnya seluruh KaataGo</t>
        </is>
      </c>
      <c r="F461" s="16" t="inlineStr">
        <is>
          <t>F-VC-26</t>
        </is>
      </c>
      <c r="G461" s="16" t="inlineStr"/>
      <c r="H461" s="16" t="inlineStr"/>
      <c r="I461" s="16" t="inlineStr"/>
    </row>
    <row r="462">
      <c r="A462" s="13" t="inlineStr">
        <is>
          <t>## 19d. Voucher Pelanggan</t>
        </is>
      </c>
      <c r="B462" s="14" t="inlineStr">
        <is>
          <t>TC-VC-74</t>
        </is>
      </c>
      <c r="C462" s="15" t="inlineStr">
        <is>
          <t>P1</t>
        </is>
      </c>
      <c r="D462" s="13" t="inlineStr">
        <is>
          <t>Batch khusus pengguna baru berkuota 1, ditebus akun lama lalu akun baru</t>
        </is>
      </c>
      <c r="E462" s="13" t="inlineStr">
        <is>
          <t>Akun lama ditolak dengan sebab yang benar; kuotanya tidak berkurang</t>
        </is>
      </c>
      <c r="F462" s="13" t="inlineStr">
        <is>
          <t>F-VC-26, F-VC-27</t>
        </is>
      </c>
      <c r="G462" s="13" t="inlineStr"/>
      <c r="H462" s="13" t="inlineStr"/>
      <c r="I462" s="13" t="inlineStr"/>
    </row>
    <row r="463">
      <c r="A463" s="16" t="inlineStr">
        <is>
          <t>## 19d. Voucher Pelanggan</t>
        </is>
      </c>
      <c r="B463" s="17" t="inlineStr">
        <is>
          <t>TC-VC-75</t>
        </is>
      </c>
      <c r="C463" s="20" t="inlineStr">
        <is>
          <t>P2</t>
        </is>
      </c>
      <c r="D463" s="16" t="inlineStr">
        <is>
          <t>Periksa pengumuman kotak masuknya</t>
        </is>
      </c>
      <c r="E463" s="16" t="inlineStr">
        <is>
          <t>Menyebut "Khusus pengguna baru"</t>
        </is>
      </c>
      <c r="F463" s="16" t="inlineStr">
        <is>
          <t>F-VC-28</t>
        </is>
      </c>
      <c r="G463" s="16" t="inlineStr"/>
      <c r="H463" s="16" t="inlineStr"/>
      <c r="I463" s="16" t="inlineStr"/>
    </row>
    <row r="464">
      <c r="A464" s="13" t="inlineStr">
        <is>
          <t>## 19d. Voucher Pelanggan</t>
        </is>
      </c>
      <c r="B464" s="14" t="inlineStr">
        <is>
          <t>TC-VC-76</t>
        </is>
      </c>
      <c r="C464" s="19" t="inlineStr">
        <is>
          <t>P2</t>
        </is>
      </c>
      <c r="D464" s="13" t="inlineStr">
        <is>
          <t>Terbitkan batch tanpa ceklis itu</t>
        </is>
      </c>
      <c r="E464" s="13" t="inlineStr">
        <is>
          <t>Siapa pun bisa menebus; kalimat syaratnya tidak muncul</t>
        </is>
      </c>
      <c r="F464" s="13" t="inlineStr">
        <is>
          <t>F-VC-26, F-VC-28</t>
        </is>
      </c>
      <c r="G464" s="13" t="inlineStr"/>
      <c r="H464" s="13" t="inlineStr"/>
      <c r="I464" s="13" t="inlineStr"/>
    </row>
    <row r="465">
      <c r="A465" s="16" t="inlineStr">
        <is>
          <t>## 19d. Voucher Pelanggan</t>
        </is>
      </c>
      <c r="B465" s="17" t="inlineStr">
        <is>
          <t>TC-VC-77</t>
        </is>
      </c>
      <c r="C465" s="20" t="inlineStr">
        <is>
          <t>P2</t>
        </is>
      </c>
      <c r="D465" s="16" t="inlineStr">
        <is>
          <t>Periksa batch lama yang terbit sebelum fitur ini</t>
        </is>
      </c>
      <c r="E465" s="16" t="inlineStr">
        <is>
          <t>Tetap terbuka untuk siapa saja</t>
        </is>
      </c>
      <c r="F465" s="16" t="inlineStr">
        <is>
          <t>F-VC-26</t>
        </is>
      </c>
      <c r="G465" s="16" t="inlineStr"/>
      <c r="H465" s="16" t="inlineStr"/>
      <c r="I465" s="16" t="inlineStr"/>
    </row>
    <row r="466">
      <c r="A466" s="13" t="inlineStr">
        <is>
          <t>## 19d. Voucher Pelanggan</t>
        </is>
      </c>
      <c r="B466" s="14" t="inlineStr">
        <is>
          <t>TC-VC-78</t>
        </is>
      </c>
      <c r="C466" s="15" t="inlineStr">
        <is>
          <t>P1</t>
        </is>
      </c>
      <c r="D466" s="13" t="inlineStr">
        <is>
          <t>Buka aplikasi sebagai tamu, lihat layar awal pelanggan</t>
        </is>
      </c>
      <c r="E466" s="13" t="inlineStr">
        <is>
          <t>Tidak ada menu Voucher Saya</t>
        </is>
      </c>
      <c r="F466" s="13" t="inlineStr">
        <is>
          <t>F-VC-29</t>
        </is>
      </c>
      <c r="G466" s="13" t="inlineStr"/>
      <c r="H466" s="13" t="inlineStr"/>
      <c r="I466" s="13" t="inlineStr"/>
    </row>
    <row r="467">
      <c r="A467" s="16" t="inlineStr">
        <is>
          <t>## 19d. Voucher Pelanggan</t>
        </is>
      </c>
      <c r="B467" s="17" t="inlineStr">
        <is>
          <t>TC-VC-79</t>
        </is>
      </c>
      <c r="C467" s="18" t="inlineStr">
        <is>
          <t>P1</t>
        </is>
      </c>
      <c r="D467" s="16" t="inlineStr">
        <is>
          <t>Tamu memesan lalu buka keranjang</t>
        </is>
      </c>
      <c r="E467" s="16" t="inlineStr">
        <is>
          <t>Baris Pakai Voucher tidak muncul</t>
        </is>
      </c>
      <c r="F467" s="16" t="inlineStr">
        <is>
          <t>F-VC-29</t>
        </is>
      </c>
      <c r="G467" s="16" t="inlineStr"/>
      <c r="H467" s="16" t="inlineStr"/>
      <c r="I467" s="16" t="inlineStr"/>
    </row>
    <row r="468">
      <c r="A468" s="13" t="inlineStr">
        <is>
          <t>## 19d. Voucher Pelanggan</t>
        </is>
      </c>
      <c r="B468" s="14" t="inlineStr">
        <is>
          <t>TC-VC-80</t>
        </is>
      </c>
      <c r="C468" s="19" t="inlineStr">
        <is>
          <t>P2</t>
        </is>
      </c>
      <c r="D468" s="13" t="inlineStr">
        <is>
          <t>Masuk dengan akun, buka keranjang yang sama</t>
        </is>
      </c>
      <c r="E468" s="13" t="inlineStr">
        <is>
          <t>Baris Pakai Voucher muncul kembali</t>
        </is>
      </c>
      <c r="F468" s="13" t="inlineStr">
        <is>
          <t>F-VC-29</t>
        </is>
      </c>
      <c r="G468" s="13" t="inlineStr"/>
      <c r="H468" s="13" t="inlineStr"/>
      <c r="I468" s="13" t="inlineStr"/>
    </row>
    <row r="469">
      <c r="A469" s="16" t="inlineStr">
        <is>
          <t>## 19d. Voucher Pelanggan</t>
        </is>
      </c>
      <c r="B469" s="17" t="inlineStr">
        <is>
          <t>TC-VC-81</t>
        </is>
      </c>
      <c r="C469" s="20" t="inlineStr">
        <is>
          <t>P2</t>
        </is>
      </c>
      <c r="D469" s="16" t="inlineStr">
        <is>
          <t>Tamu menyelesaikan pesanan</t>
        </is>
      </c>
      <c r="E469" s="16" t="inlineStr">
        <is>
          <t>Tersimpan tanpa voucher, nilai vouchernya nol</t>
        </is>
      </c>
      <c r="F469" s="16" t="inlineStr">
        <is>
          <t>F-VC-29</t>
        </is>
      </c>
      <c r="G469" s="16" t="inlineStr"/>
      <c r="H469" s="16" t="inlineStr"/>
      <c r="I469" s="16" t="inlineStr"/>
    </row>
    <row r="470">
      <c r="A470" s="13" t="inlineStr">
        <is>
          <t>## 19e. Analisa Pasar</t>
        </is>
      </c>
      <c r="B470" s="14" t="inlineStr">
        <is>
          <t>TC-MR-01</t>
        </is>
      </c>
      <c r="C470" s="15" t="inlineStr">
        <is>
          <t>P1</t>
        </is>
      </c>
      <c r="D470" s="13" t="inlineStr">
        <is>
          <t>Super Admin → Analisa Pasar</t>
        </is>
      </c>
      <c r="E470" s="13" t="inlineStr">
        <is>
          <t>Empat bagian termuat tanpa galat</t>
        </is>
      </c>
      <c r="F470" s="13" t="inlineStr">
        <is>
          <t>F-MR-01…04</t>
        </is>
      </c>
      <c r="G470" s="13" t="inlineStr"/>
      <c r="H470" s="13" t="inlineStr"/>
      <c r="I470" s="13" t="inlineStr"/>
    </row>
    <row r="471">
      <c r="A471" s="16" t="inlineStr">
        <is>
          <t>## 19e. Analisa Pasar</t>
        </is>
      </c>
      <c r="B471" s="17" t="inlineStr">
        <is>
          <t>TC-MR-02</t>
        </is>
      </c>
      <c r="C471" s="18" t="inlineStr">
        <is>
          <t>P1</t>
        </is>
      </c>
      <c r="D471" s="16" t="inlineStr">
        <is>
          <t>Bandingkan Top 5 Pelanggan dengan jumlah manual dari orders</t>
        </is>
      </c>
      <c r="E471" s="16" t="inlineStr">
        <is>
          <t>Cocok nominal dan jumlah pesanannya</t>
        </is>
      </c>
      <c r="F471" s="16" t="inlineStr">
        <is>
          <t>F-MR-01</t>
        </is>
      </c>
      <c r="G471" s="16" t="inlineStr"/>
      <c r="H471" s="16" t="inlineStr"/>
      <c r="I471" s="16" t="inlineStr"/>
    </row>
    <row r="472">
      <c r="A472" s="13" t="inlineStr">
        <is>
          <t>## 19e. Analisa Pasar</t>
        </is>
      </c>
      <c r="B472" s="14" t="inlineStr">
        <is>
          <t>TC-MR-03</t>
        </is>
      </c>
      <c r="C472" s="15" t="inlineStr">
        <is>
          <t>P1</t>
        </is>
      </c>
      <c r="D472" s="13" t="inlineStr">
        <is>
          <t>Batalkan sebuah pesanan besar, muat ulang</t>
        </is>
      </c>
      <c r="E472" s="13" t="inlineStr">
        <is>
          <t>Nominalnya berkurang — yang batal tidak dihitung</t>
        </is>
      </c>
      <c r="F472" s="13" t="inlineStr">
        <is>
          <t>F-MR-05</t>
        </is>
      </c>
      <c r="G472" s="13" t="inlineStr"/>
      <c r="H472" s="13" t="inlineStr"/>
      <c r="I472" s="13" t="inlineStr"/>
    </row>
    <row r="473">
      <c r="A473" s="16" t="inlineStr">
        <is>
          <t>## 19e. Analisa Pasar</t>
        </is>
      </c>
      <c r="B473" s="17" t="inlineStr">
        <is>
          <t>TC-MR-04</t>
        </is>
      </c>
      <c r="C473" s="18" t="inlineStr">
        <is>
          <t>P1</t>
        </is>
      </c>
      <c r="D473" s="16" t="inlineStr">
        <is>
          <t>Buat akun pelanggan baru tanpa memesan</t>
        </is>
      </c>
      <c r="E473" s="16" t="inlineStr">
        <is>
          <t>Muncul di daftar Belum Pernah Memesan</t>
        </is>
      </c>
      <c r="F473" s="16" t="inlineStr">
        <is>
          <t>F-MR-02</t>
        </is>
      </c>
      <c r="G473" s="16" t="inlineStr"/>
      <c r="H473" s="16" t="inlineStr"/>
      <c r="I473" s="16" t="inlineStr"/>
    </row>
    <row r="474">
      <c r="A474" s="13" t="inlineStr">
        <is>
          <t>## 19e. Analisa Pasar</t>
        </is>
      </c>
      <c r="B474" s="14" t="inlineStr">
        <is>
          <t>TC-MR-05</t>
        </is>
      </c>
      <c r="C474" s="15" t="inlineStr">
        <is>
          <t>P1</t>
        </is>
      </c>
      <c r="D474" s="13" t="inlineStr">
        <is>
          <t>Pelanggan itu menyelesaikan satu pesanan, muat ulang</t>
        </is>
      </c>
      <c r="E474" s="13" t="inlineStr">
        <is>
          <t>Hilang dari daftar tersebut</t>
        </is>
      </c>
      <c r="F474" s="13" t="inlineStr">
        <is>
          <t>F-MR-02</t>
        </is>
      </c>
      <c r="G474" s="13" t="inlineStr"/>
      <c r="H474" s="13" t="inlineStr"/>
      <c r="I474" s="13" t="inlineStr"/>
    </row>
    <row r="475">
      <c r="A475" s="16" t="inlineStr">
        <is>
          <t>## 19e. Analisa Pasar</t>
        </is>
      </c>
      <c r="B475" s="17" t="inlineStr">
        <is>
          <t>TC-MR-06</t>
        </is>
      </c>
      <c r="C475" s="18" t="inlineStr">
        <is>
          <t>P1</t>
        </is>
      </c>
      <c r="D475" s="16" t="inlineStr">
        <is>
          <t>Bandingkan Top 5 Resto dengan Jurnal GL resto bersangkutan</t>
        </is>
      </c>
      <c r="E475" s="16" t="inlineStr">
        <is>
          <t>Nominalnya sejalan</t>
        </is>
      </c>
      <c r="F475" s="16" t="inlineStr">
        <is>
          <t>F-MR-03</t>
        </is>
      </c>
      <c r="G475" s="16" t="inlineStr"/>
      <c r="H475" s="16" t="inlineStr"/>
      <c r="I475" s="16" t="inlineStr"/>
    </row>
    <row r="476">
      <c r="A476" s="13" t="inlineStr">
        <is>
          <t>## 19e. Analisa Pasar</t>
        </is>
      </c>
      <c r="B476" s="14" t="inlineStr">
        <is>
          <t>TC-MR-07</t>
        </is>
      </c>
      <c r="C476" s="15" t="inlineStr">
        <is>
          <t>P1</t>
        </is>
      </c>
      <c r="D476" s="13" t="inlineStr">
        <is>
          <t>Resto yang seluruh pesanannya batal</t>
        </is>
      </c>
      <c r="E476" s="13" t="inlineStr">
        <is>
          <t>Muncul di Belum Ada Penghasilan, jumlah pesanan 0</t>
        </is>
      </c>
      <c r="F476" s="13" t="inlineStr">
        <is>
          <t>F-MR-04</t>
        </is>
      </c>
      <c r="G476" s="13" t="inlineStr"/>
      <c r="H476" s="13" t="inlineStr"/>
      <c r="I476" s="13" t="inlineStr"/>
    </row>
    <row r="477">
      <c r="A477" s="16" t="inlineStr">
        <is>
          <t>## 19e. Analisa Pasar</t>
        </is>
      </c>
      <c r="B477" s="17" t="inlineStr">
        <is>
          <t>TC-MR-08</t>
        </is>
      </c>
      <c r="C477" s="20" t="inlineStr">
        <is>
          <t>P2</t>
        </is>
      </c>
      <c r="D477" s="16" t="inlineStr">
        <is>
          <t>Resto baru tanpa pesanan sama sekali</t>
        </is>
      </c>
      <c r="E477" s="16" t="inlineStr">
        <is>
          <t>Muncul dengan "Belum ada pesanan"</t>
        </is>
      </c>
      <c r="F477" s="16" t="inlineStr">
        <is>
          <t>F-MR-04</t>
        </is>
      </c>
      <c r="G477" s="16" t="inlineStr"/>
      <c r="H477" s="16" t="inlineStr"/>
      <c r="I477" s="16" t="inlineStr"/>
    </row>
    <row r="478">
      <c r="A478" s="13" t="inlineStr">
        <is>
          <t>## 19e. Analisa Pasar</t>
        </is>
      </c>
      <c r="B478" s="14" t="inlineStr">
        <is>
          <t>TC-MR-09</t>
        </is>
      </c>
      <c r="C478" s="15" t="inlineStr">
        <is>
          <t>P1</t>
        </is>
      </c>
      <c r="D478" s="13" t="inlineStr">
        <is>
          <t>Periksa apakah resto KaataGo ikut terhitung</t>
        </is>
      </c>
      <c r="E478" s="13" t="inlineStr">
        <is>
          <t>Tidak — resto platform dikecualikan</t>
        </is>
      </c>
      <c r="F478" s="13" t="inlineStr">
        <is>
          <t>F-MR-06</t>
        </is>
      </c>
      <c r="G478" s="13" t="inlineStr"/>
      <c r="H478" s="13" t="inlineStr"/>
      <c r="I478" s="13" t="inlineStr"/>
    </row>
    <row r="479">
      <c r="A479" s="16" t="inlineStr">
        <is>
          <t>## 19e. Analisa Pasar</t>
        </is>
      </c>
      <c r="B479" s="17" t="inlineStr">
        <is>
          <t>TC-MR-10</t>
        </is>
      </c>
      <c r="C479" s="18" t="inlineStr">
        <is>
          <t>P1</t>
        </is>
      </c>
      <c r="D479" s="16" t="inlineStr">
        <is>
          <t>Hapus lunak sebuah resto, muat ulang</t>
        </is>
      </c>
      <c r="E479" s="16" t="inlineStr">
        <is>
          <t>Hilang dari keempat daftar</t>
        </is>
      </c>
      <c r="F479" s="16" t="inlineStr">
        <is>
          <t>F-MR-06</t>
        </is>
      </c>
      <c r="G479" s="16" t="inlineStr"/>
      <c r="H479" s="16" t="inlineStr"/>
      <c r="I479" s="16" t="inlineStr"/>
    </row>
    <row r="480">
      <c r="A480" s="13" t="inlineStr">
        <is>
          <t>## 19e. Analisa Pasar</t>
        </is>
      </c>
      <c r="B480" s="14" t="inlineStr">
        <is>
          <t>TC-MR-11</t>
        </is>
      </c>
      <c r="C480" s="15" t="inlineStr">
        <is>
          <t>P1</t>
        </is>
      </c>
      <c r="D480" s="13" t="inlineStr">
        <is>
          <t>Panggil report_top_customers sebagai Owner resto</t>
        </is>
      </c>
      <c r="E480" s="13" t="inlineStr">
        <is>
          <t>Daftar kosong, bukan pesan galat</t>
        </is>
      </c>
      <c r="F480" s="13" t="inlineStr">
        <is>
          <t>F-MR-07</t>
        </is>
      </c>
      <c r="G480" s="13" t="inlineStr"/>
      <c r="H480" s="13" t="inlineStr"/>
      <c r="I480" s="13" t="inlineStr"/>
    </row>
    <row r="481">
      <c r="A481" s="16" t="inlineStr">
        <is>
          <t>## 19e. Analisa Pasar</t>
        </is>
      </c>
      <c r="B481" s="17" t="inlineStr">
        <is>
          <t>TC-MR-12</t>
        </is>
      </c>
      <c r="C481" s="20" t="inlineStr">
        <is>
          <t>P2</t>
        </is>
      </c>
      <c r="D481" s="16" t="inlineStr">
        <is>
          <t>Panggil salah satu RPC dengan p_limit 99999</t>
        </is>
      </c>
      <c r="E481" s="16" t="inlineStr">
        <is>
          <t>Dijepit ke batas atasnya</t>
        </is>
      </c>
      <c r="F481" s="16" t="inlineStr">
        <is>
          <t>F-MR-07</t>
        </is>
      </c>
      <c r="G481" s="16" t="inlineStr"/>
      <c r="H481" s="16" t="inlineStr"/>
      <c r="I481" s="16" t="inlineStr"/>
    </row>
    <row r="482">
      <c r="A482" s="13" t="inlineStr">
        <is>
          <t>## 19e. Analisa Pasar</t>
        </is>
      </c>
      <c r="B482" s="14" t="inlineStr">
        <is>
          <t>TC-MR-13</t>
        </is>
      </c>
      <c r="C482" s="19" t="inlineStr">
        <is>
          <t>P2</t>
        </is>
      </c>
      <c r="D482" s="13" t="inlineStr">
        <is>
          <t>Pesanan kasir atas nama tamu</t>
        </is>
      </c>
      <c r="E482" s="13" t="inlineStr">
        <is>
          <t>Tidak ikut peringkat pelanggan — bukan akun terdaftar</t>
        </is>
      </c>
      <c r="F482" s="13" t="inlineStr">
        <is>
          <t>F-MR-01</t>
        </is>
      </c>
      <c r="G482" s="13" t="inlineStr"/>
      <c r="H482" s="13" t="inlineStr"/>
      <c r="I482" s="13" t="inlineStr"/>
    </row>
    <row r="483">
      <c r="A483" s="16" t="inlineStr">
        <is>
          <t>Uji Teknis (lingkup TSD)</t>
        </is>
      </c>
      <c r="B483" s="17" t="inlineStr">
        <is>
          <t>TC-TS-01</t>
        </is>
      </c>
      <c r="C483" s="18" t="inlineStr">
        <is>
          <t>P1</t>
        </is>
      </c>
      <c r="D483" s="16" t="inlineStr">
        <is>
          <t>Panggil GET /rest/v1/orders memakai kunci anon tanpa login</t>
        </is>
      </c>
      <c r="E483" s="16" t="inlineStr">
        <is>
          <t>Tidak mengembalikan pesanan resto mana pun</t>
        </is>
      </c>
      <c r="F483" s="16" t="inlineStr">
        <is>
          <t>TSD §5</t>
        </is>
      </c>
      <c r="G483" s="16" t="inlineStr"/>
      <c r="H483" s="16" t="inlineStr"/>
      <c r="I483" s="16" t="inlineStr"/>
    </row>
    <row r="484">
      <c r="A484" s="13" t="inlineStr">
        <is>
          <t>Uji Teknis (lingkup TSD)</t>
        </is>
      </c>
      <c r="B484" s="14" t="inlineStr">
        <is>
          <t>TC-TS-02</t>
        </is>
      </c>
      <c r="C484" s="15" t="inlineStr">
        <is>
          <t>P1</t>
        </is>
      </c>
      <c r="D484" s="13" t="inlineStr">
        <is>
          <t>Login sebagai karyawan resto A, baca orders resto B lewat API</t>
        </is>
      </c>
      <c r="E484" s="13" t="inlineStr">
        <is>
          <t>Kosong — bukan galat, tapi juga bukan data</t>
        </is>
      </c>
      <c r="F484" s="13" t="inlineStr">
        <is>
          <t>TSD §5</t>
        </is>
      </c>
      <c r="G484" s="13" t="inlineStr"/>
      <c r="H484" s="13" t="inlineStr"/>
      <c r="I484" s="13" t="inlineStr"/>
    </row>
    <row r="485">
      <c r="A485" s="16" t="inlineStr">
        <is>
          <t>Uji Teknis (lingkup TSD)</t>
        </is>
      </c>
      <c r="B485" s="17" t="inlineStr">
        <is>
          <t>TC-TS-03</t>
        </is>
      </c>
      <c r="C485" s="18" t="inlineStr">
        <is>
          <t>P1</t>
        </is>
      </c>
      <c r="D485" s="16" t="inlineStr">
        <is>
          <t>Login sebagai Owner, buka tiap layar resto miliknya</t>
        </is>
      </c>
      <c r="E485" s="16" t="inlineStr">
        <is>
          <t>Tidak ada layar yang kosong karena RLS — owner harus disebut di setiap daftar peran</t>
        </is>
      </c>
      <c r="F485" s="16" t="inlineStr">
        <is>
          <t>TSD §5</t>
        </is>
      </c>
      <c r="G485" s="16" t="inlineStr"/>
      <c r="H485" s="16" t="inlineStr"/>
      <c r="I485" s="16" t="inlineStr"/>
    </row>
    <row r="486">
      <c r="A486" s="13" t="inlineStr">
        <is>
          <t>Uji Teknis (lingkup TSD)</t>
        </is>
      </c>
      <c r="B486" s="14" t="inlineStr">
        <is>
          <t>TC-TS-04</t>
        </is>
      </c>
      <c r="C486" s="15" t="inlineStr">
        <is>
          <t>P1</t>
        </is>
      </c>
      <c r="D486" s="13" t="inlineStr">
        <is>
          <t>Login sebagai Kasir, baca gl_journal_entries</t>
        </is>
      </c>
      <c r="E486" s="13" t="inlineStr">
        <is>
          <t>Hanya yang terkait catatan yang memang boleh dia lihat</t>
        </is>
      </c>
      <c r="F486" s="13" t="inlineStr">
        <is>
          <t>F-KS-13, TSD §5.1</t>
        </is>
      </c>
      <c r="G486" s="13" t="inlineStr"/>
      <c r="H486" s="13" t="inlineStr"/>
      <c r="I486" s="13" t="inlineStr"/>
    </row>
    <row r="487">
      <c r="A487" s="16" t="inlineStr">
        <is>
          <t>Uji Teknis (lingkup TSD)</t>
        </is>
      </c>
      <c r="B487" s="17" t="inlineStr">
        <is>
          <t>TC-TS-05</t>
        </is>
      </c>
      <c r="C487" s="18" t="inlineStr">
        <is>
          <t>P1</t>
        </is>
      </c>
      <c r="D487" s="16" t="inlineStr">
        <is>
          <t>Coba UPDATE products langsung lewat API sebagai pelanggan</t>
        </is>
      </c>
      <c r="E487" s="16" t="inlineStr">
        <is>
          <t>Ditolak; pengurangan stok hanya lewat decrement_stock</t>
        </is>
      </c>
      <c r="F487" s="16" t="inlineStr">
        <is>
          <t>TSD §5.2</t>
        </is>
      </c>
      <c r="G487" s="16" t="inlineStr"/>
      <c r="H487" s="16" t="inlineStr"/>
      <c r="I487" s="16" t="inlineStr"/>
    </row>
    <row r="488">
      <c r="A488" s="13" t="inlineStr">
        <is>
          <t>Uji Teknis (lingkup TSD)</t>
        </is>
      </c>
      <c r="B488" s="14" t="inlineStr">
        <is>
          <t>TC-TS-06</t>
        </is>
      </c>
      <c r="C488" s="15" t="inlineStr">
        <is>
          <t>P1</t>
        </is>
      </c>
      <c r="D488" s="13" t="inlineStr">
        <is>
          <t>Panggil cancel_my_order untuk pesanan milik orang lain</t>
        </is>
      </c>
      <c r="E488" s="13" t="inlineStr">
        <is>
          <t>Ditolak</t>
        </is>
      </c>
      <c r="F488" s="13" t="inlineStr">
        <is>
          <t>TSD §5.2</t>
        </is>
      </c>
      <c r="G488" s="13" t="inlineStr"/>
      <c r="H488" s="13" t="inlineStr"/>
      <c r="I488" s="13" t="inlineStr"/>
    </row>
    <row r="489">
      <c r="A489" s="16" t="inlineStr">
        <is>
          <t>Uji Teknis (lingkup TSD)</t>
        </is>
      </c>
      <c r="B489" s="17" t="inlineStr">
        <is>
          <t>TC-TS-07</t>
        </is>
      </c>
      <c r="C489" s="18" t="inlineStr">
        <is>
          <t>P1</t>
        </is>
      </c>
      <c r="D489" s="16" t="inlineStr">
        <is>
          <t>Jalankan ulang seluruh JALANKAN-INI.sql di database yang sudah terisi</t>
        </is>
      </c>
      <c r="E489" s="16" t="inlineStr">
        <is>
          <t>Selesai tanpa galat; tidak ada data yang berubah</t>
        </is>
      </c>
      <c r="F489" s="16" t="inlineStr">
        <is>
          <t>TSD §11</t>
        </is>
      </c>
      <c r="G489" s="16" t="inlineStr"/>
      <c r="H489" s="16" t="inlineStr"/>
      <c r="I489" s="16" t="inlineStr"/>
    </row>
    <row r="490">
      <c r="A490" s="13" t="inlineStr">
        <is>
          <t>Uji Teknis (lingkup TSD)</t>
        </is>
      </c>
      <c r="B490" s="14" t="inlineStr">
        <is>
          <t>TC-TS-08</t>
        </is>
      </c>
      <c r="C490" s="15" t="inlineStr">
        <is>
          <t>P1</t>
        </is>
      </c>
      <c r="D490" s="13" t="inlineStr">
        <is>
          <t>Jalankan ulang satu berkas SQL lama saja, misal cash_payment_expiry.sql</t>
        </is>
      </c>
      <c r="E490" s="13" t="inlineStr">
        <is>
          <t>Tidak menyempitkan daftar nilai batasan mana pun</t>
        </is>
      </c>
      <c r="F490" s="13" t="inlineStr">
        <is>
          <t>TSD §11.1</t>
        </is>
      </c>
      <c r="G490" s="13" t="inlineStr"/>
      <c r="H490" s="13" t="inlineStr"/>
      <c r="I490" s="13" t="inlineStr"/>
    </row>
    <row r="491">
      <c r="A491" s="16" t="inlineStr">
        <is>
          <t>Uji Teknis (lingkup TSD)</t>
        </is>
      </c>
      <c r="B491" s="17" t="inlineStr">
        <is>
          <t>TC-TS-09</t>
        </is>
      </c>
      <c r="C491" s="18" t="inlineStr">
        <is>
          <t>P1</t>
        </is>
      </c>
      <c r="D491" s="16" t="inlineStr">
        <is>
          <t>Buat resto baru dari Super Admin</t>
        </is>
      </c>
      <c r="E491" s="16" t="inlineStr">
        <is>
          <t>Bagan akun GL 12 jenis dan tarif PPN/service langsung terisi</t>
        </is>
      </c>
      <c r="F491" s="16" t="inlineStr">
        <is>
          <t>A-19, TSD §6.2</t>
        </is>
      </c>
      <c r="G491" s="16" t="inlineStr"/>
      <c r="H491" s="16" t="inlineStr"/>
      <c r="I491" s="16" t="inlineStr"/>
    </row>
    <row r="492">
      <c r="A492" s="13" t="inlineStr">
        <is>
          <t>Uji Teknis (lingkup TSD)</t>
        </is>
      </c>
      <c r="B492" s="14" t="inlineStr">
        <is>
          <t>TC-TS-10</t>
        </is>
      </c>
      <c r="C492" s="15" t="inlineStr">
        <is>
          <t>P1</t>
        </is>
      </c>
      <c r="D492" s="13" t="inlineStr">
        <is>
          <t>Kosongkan satu nomor GL, lalu buat transaksi</t>
        </is>
      </c>
      <c r="E492" s="13" t="inlineStr">
        <is>
          <t>Jurnal untuk baris itu tidak terbentuk — pastikan gejalanya dikenali penguji</t>
        </is>
      </c>
      <c r="F492" s="13" t="inlineStr">
        <is>
          <t>TSD §6.2</t>
        </is>
      </c>
      <c r="G492" s="13" t="inlineStr"/>
      <c r="H492" s="13" t="inlineStr"/>
      <c r="I492" s="13" t="inlineStr"/>
    </row>
    <row r="493">
      <c r="A493" s="16" t="inlineStr">
        <is>
          <t>Uji Teknis (lingkup TSD)</t>
        </is>
      </c>
      <c r="B493" s="17" t="inlineStr">
        <is>
          <t>TC-TS-11</t>
        </is>
      </c>
      <c r="C493" s="20" t="inlineStr">
        <is>
          <t>P2</t>
        </is>
      </c>
      <c r="D493" s="16" t="inlineStr">
        <is>
          <t>Periksa push_outbox sesudah pengumuman terbit</t>
        </is>
      </c>
      <c r="E493" s="16" t="inlineStr">
        <is>
          <t>Baris masuk, lalu sent_at terisi</t>
        </is>
      </c>
      <c r="F493" s="16" t="inlineStr">
        <is>
          <t>TSD §8</t>
        </is>
      </c>
      <c r="G493" s="16" t="inlineStr"/>
      <c r="H493" s="16" t="inlineStr"/>
      <c r="I493" s="16" t="inlineStr"/>
    </row>
    <row r="494">
      <c r="A494" s="13" t="inlineStr">
        <is>
          <t>Uji Teknis (lingkup TSD)</t>
        </is>
      </c>
      <c r="B494" s="14" t="inlineStr">
        <is>
          <t>TC-TS-12</t>
        </is>
      </c>
      <c r="C494" s="19" t="inlineStr">
        <is>
          <t>P2</t>
        </is>
      </c>
      <c r="D494" s="13" t="inlineStr">
        <is>
          <t>Matikan sambungan, pakai aplikasi</t>
        </is>
      </c>
      <c r="E494" s="13" t="inlineStr">
        <is>
          <t>Katalog tetap tampil; pesanan tunai tetap bisa dibuat</t>
        </is>
      </c>
      <c r="F494" s="13" t="inlineStr">
        <is>
          <t>TSD §10, FSD §5.6</t>
        </is>
      </c>
      <c r="G494" s="13" t="inlineStr"/>
      <c r="H494" s="13" t="inlineStr"/>
      <c r="I494" s="13" t="inlineStr"/>
    </row>
    <row r="495">
      <c r="A495" s="16" t="inlineStr">
        <is>
          <t>Uji Teknis (lingkup TSD)</t>
        </is>
      </c>
      <c r="B495" s="17" t="inlineStr">
        <is>
          <t>TC-TS-13</t>
        </is>
      </c>
      <c r="C495" s="20" t="inlineStr">
        <is>
          <t>P2</t>
        </is>
      </c>
      <c r="D495" s="16" t="inlineStr">
        <is>
          <t>Sambungkan lagi</t>
        </is>
      </c>
      <c r="E495" s="16" t="inlineStr">
        <is>
          <t>Pesanan yang dibuat saat luring terkirim</t>
        </is>
      </c>
      <c r="F495" s="16" t="inlineStr">
        <is>
          <t>TSD §10</t>
        </is>
      </c>
      <c r="G495" s="16" t="inlineStr"/>
      <c r="H495" s="16" t="inlineStr"/>
      <c r="I495" s="16" t="inlineStr"/>
    </row>
    <row r="496">
      <c r="A496" s="13" t="inlineStr">
        <is>
          <t>Uji Teknis (lingkup TSD)</t>
        </is>
      </c>
      <c r="B496" s="14" t="inlineStr">
        <is>
          <t>TC-TS-14</t>
        </is>
      </c>
      <c r="C496" s="15" t="inlineStr">
        <is>
          <t>P1</t>
        </is>
      </c>
      <c r="D496" s="13" t="inlineStr">
        <is>
          <t>Coba bayar QRIS saat luring</t>
        </is>
      </c>
      <c r="E496" s="13" t="inlineStr">
        <is>
          <t>Ditolak dengan jelas — bukan menggantung tanpa kabar</t>
        </is>
      </c>
      <c r="F496" s="13" t="inlineStr">
        <is>
          <t>FSD §5.6</t>
        </is>
      </c>
      <c r="G496" s="13" t="inlineStr"/>
      <c r="H496" s="13" t="inlineStr"/>
      <c r="I496" s="13" t="inlineStr"/>
    </row>
    <row r="497">
      <c r="A497" s="16" t="inlineStr">
        <is>
          <t>Uji Teknis (lingkup TSD)</t>
        </is>
      </c>
      <c r="B497" s="17" t="inlineStr">
        <is>
          <t>TC-TS-15</t>
        </is>
      </c>
      <c r="C497" s="18" t="inlineStr">
        <is>
          <t>P1</t>
        </is>
      </c>
      <c r="D497" s="16" t="inlineStr">
        <is>
          <t>Panggil create-qris dengan nominal yang dipalsukan di badan permintaan</t>
        </is>
      </c>
      <c r="E497" s="16" t="inlineStr">
        <is>
          <t>Nominal yang dipakai tetap dari basis data</t>
        </is>
      </c>
      <c r="F497" s="16" t="inlineStr">
        <is>
          <t>TSD §7.1</t>
        </is>
      </c>
      <c r="G497" s="16" t="inlineStr"/>
      <c r="H497" s="16" t="inlineStr"/>
      <c r="I497" s="16" t="inlineStr"/>
    </row>
    <row r="498">
      <c r="A498" s="13" t="inlineStr">
        <is>
          <t>Uji Teknis (lingkup TSD)</t>
        </is>
      </c>
      <c r="B498" s="14" t="inlineStr">
        <is>
          <t>TC-TS-16</t>
        </is>
      </c>
      <c r="C498" s="15" t="inlineStr">
        <is>
          <t>P1</t>
        </is>
      </c>
      <c r="D498" s="13" t="inlineStr">
        <is>
          <t>Tandai pesanan lunas lewat API tanpa lewat webhook</t>
        </is>
      </c>
      <c r="E498" s="13" t="inlineStr">
        <is>
          <t>Ditolak</t>
        </is>
      </c>
      <c r="F498" s="13" t="inlineStr">
        <is>
          <t>F-PG-02, TSD §7.1</t>
        </is>
      </c>
      <c r="G498" s="13" t="inlineStr"/>
      <c r="H498" s="13" t="inlineStr"/>
      <c r="I498" s="13" t="inlineStr"/>
    </row>
    <row r="499">
      <c r="A499" s="16" t="inlineStr">
        <is>
          <t>Uji Teknis (lingkup TSD)</t>
        </is>
      </c>
      <c r="B499" s="17" t="inlineStr">
        <is>
          <t>TC-TS-17</t>
        </is>
      </c>
      <c r="C499" s="20" t="inlineStr">
        <is>
          <t>P2</t>
        </is>
      </c>
      <c r="D499" s="16" t="inlineStr">
        <is>
          <t>Bongkar APK, cari kunci Xendit/FCM/Resend</t>
        </is>
      </c>
      <c r="E499" s="16" t="inlineStr">
        <is>
          <t>Tidak ada satu pun kunci pengirim di dalamnya</t>
        </is>
      </c>
      <c r="F499" s="16" t="inlineStr">
        <is>
          <t>TSD §1.2</t>
        </is>
      </c>
      <c r="G499" s="16" t="inlineStr"/>
      <c r="H499" s="16" t="inlineStr"/>
      <c r="I499" s="16" t="inlineStr"/>
    </row>
    <row r="500">
      <c r="A500" s="13" t="inlineStr">
        <is>
          <t>Uji Teknis (lingkup TSD)</t>
        </is>
      </c>
      <c r="B500" s="14" t="inlineStr">
        <is>
          <t>TC-TS-18</t>
        </is>
      </c>
      <c r="C500" s="19" t="inlineStr">
        <is>
          <t>P2</t>
        </is>
      </c>
      <c r="D500" s="13" t="inlineStr">
        <is>
          <t>Pesanan berpindah status lunas lebih dari sekali</t>
        </is>
      </c>
      <c r="E500" s="13" t="inlineStr">
        <is>
          <t>Jurnalnya tetap satu set — tidak ada baris ganda</t>
        </is>
      </c>
      <c r="F500" s="13" t="inlineStr">
        <is>
          <t>TSD §6.5</t>
        </is>
      </c>
      <c r="G500" s="13" t="inlineStr"/>
      <c r="H500" s="13" t="inlineStr"/>
      <c r="I500" s="13" t="inlineStr"/>
    </row>
    <row r="501">
      <c r="A501" s="16" t="inlineStr">
        <is>
          <t>Uji Teknis (lingkup TSD)</t>
        </is>
      </c>
      <c r="B501" s="17" t="inlineStr">
        <is>
          <t>TC-TS-19</t>
        </is>
      </c>
      <c r="C501" s="20" t="inlineStr">
        <is>
          <t>P2</t>
        </is>
      </c>
      <c r="D501" s="16" t="inlineStr">
        <is>
          <t>Hapus resto uji</t>
        </is>
      </c>
      <c r="E501" s="16" t="inlineStr">
        <is>
          <t>Seluruh isinya ikut terhapus, termasuk jurnalnya</t>
        </is>
      </c>
      <c r="F501" s="16" t="inlineStr">
        <is>
          <t>TSD §4.0</t>
        </is>
      </c>
      <c r="G501" s="16" t="inlineStr"/>
      <c r="H501" s="16" t="inlineStr"/>
      <c r="I501" s="16" t="inlineStr"/>
    </row>
    <row r="502">
      <c r="A502" s="13" t="inlineStr">
        <is>
          <t>Regresi — bug yang pernah terjadi</t>
        </is>
      </c>
      <c r="B502" s="14" t="inlineStr">
        <is>
          <t>TC-RG-01</t>
        </is>
      </c>
      <c r="C502" s="15" t="inlineStr">
        <is>
          <t>P1</t>
        </is>
      </c>
      <c r="D502" s="13" t="inlineStr">
        <is>
          <t>Nominal QRIS kasir memakai subtotal menu, bukan total tagihan</t>
        </is>
      </c>
      <c r="E502" s="13" t="inlineStr">
        <is>
          <t>Nominal di layar QRIS = total termasuk service dan PPN</t>
        </is>
      </c>
      <c r="F502" s="13" t="inlineStr">
        <is>
          <t>F-KS-09</t>
        </is>
      </c>
      <c r="G502" s="13" t="inlineStr"/>
      <c r="H502" s="13" t="inlineStr"/>
      <c r="I502" s="13" t="inlineStr"/>
    </row>
    <row r="503">
      <c r="A503" s="16" t="inlineStr">
        <is>
          <t>Regresi — bug yang pernah terjadi</t>
        </is>
      </c>
      <c r="B503" s="17" t="inlineStr">
        <is>
          <t>TC-RG-02</t>
        </is>
      </c>
      <c r="C503" s="18" t="inlineStr">
        <is>
          <t>P1</t>
        </is>
      </c>
      <c r="D503" s="16" t="inlineStr">
        <is>
          <t>Pesanan dilunasi lewat QRIS hilang dari Riwayat Kasir</t>
        </is>
      </c>
      <c r="E503" s="16" t="inlineStr">
        <is>
          <t>Semua cara bayar masuk Riwayat Kasir</t>
        </is>
      </c>
      <c r="F503" s="16" t="inlineStr">
        <is>
          <t>F-PP-09, A-13</t>
        </is>
      </c>
      <c r="G503" s="16" t="inlineStr"/>
      <c r="H503" s="16" t="inlineStr"/>
      <c r="I503" s="16" t="inlineStr"/>
    </row>
    <row r="504">
      <c r="A504" s="13" t="inlineStr">
        <is>
          <t>Regresi — bug yang pernah terjadi</t>
        </is>
      </c>
      <c r="B504" s="14" t="inlineStr">
        <is>
          <t>TC-RG-03</t>
        </is>
      </c>
      <c r="C504" s="15" t="inlineStr">
        <is>
          <t>P1</t>
        </is>
      </c>
      <c r="D504" s="13" t="inlineStr">
        <is>
          <t>Pesanan dibatalkan tampil "Menunggu Pembayaran" di Pesanan Masuk</t>
        </is>
      </c>
      <c r="E504" s="13" t="inlineStr">
        <is>
          <t>Tidak muncul sama sekali</t>
        </is>
      </c>
      <c r="F504" s="13" t="inlineStr">
        <is>
          <t>A-17</t>
        </is>
      </c>
      <c r="G504" s="13" t="inlineStr"/>
      <c r="H504" s="13" t="inlineStr"/>
      <c r="I504" s="13" t="inlineStr"/>
    </row>
    <row r="505">
      <c r="A505" s="16" t="inlineStr">
        <is>
          <t>Regresi — bug yang pernah terjadi</t>
        </is>
      </c>
      <c r="B505" s="17" t="inlineStr">
        <is>
          <t>TC-RG-04</t>
        </is>
      </c>
      <c r="C505" s="18" t="inlineStr">
        <is>
          <t>P1</t>
        </is>
      </c>
      <c r="D505" s="16" t="inlineStr">
        <is>
          <t>Top up Rp 100.000 tercatat Rp 200.000 di jurnal</t>
        </is>
      </c>
      <c r="E505" s="16" t="inlineStr">
        <is>
          <t>Nominalnya sama dengan yang diajukan</t>
        </is>
      </c>
      <c r="F505" s="16" t="inlineStr">
        <is>
          <t>F-FN-03</t>
        </is>
      </c>
      <c r="G505" s="16" t="inlineStr"/>
      <c r="H505" s="16" t="inlineStr"/>
      <c r="I505" s="16" t="inlineStr"/>
    </row>
    <row r="506">
      <c r="A506" s="13" t="inlineStr">
        <is>
          <t>Regresi — bug yang pernah terjadi</t>
        </is>
      </c>
      <c r="B506" s="14" t="inlineStr">
        <is>
          <t>TC-RG-05</t>
        </is>
      </c>
      <c r="C506" s="15" t="inlineStr">
        <is>
          <t>P1</t>
        </is>
      </c>
      <c r="D506" s="13" t="inlineStr">
        <is>
          <t>Diskon tidak berlaku untuk pesanan mandiri pelanggan</t>
        </is>
      </c>
      <c r="E506" s="13" t="inlineStr">
        <is>
          <t>Berlaku sama di kasir dan HP pelanggan</t>
        </is>
      </c>
      <c r="F506" s="13" t="inlineStr">
        <is>
          <t>A-14</t>
        </is>
      </c>
      <c r="G506" s="13" t="inlineStr"/>
      <c r="H506" s="13" t="inlineStr"/>
      <c r="I506" s="13" t="inlineStr"/>
    </row>
    <row r="507">
      <c r="A507" s="16" t="inlineStr">
        <is>
          <t>Regresi — bug yang pernah terjadi</t>
        </is>
      </c>
      <c r="B507" s="17" t="inlineStr">
        <is>
          <t>TC-RG-06</t>
        </is>
      </c>
      <c r="C507" s="18" t="inlineStr">
        <is>
          <t>P1</t>
        </is>
      </c>
      <c r="D507" s="16" t="inlineStr">
        <is>
          <t>Promo "beli 2" lolos oleh keranjang berisi dua menu berbeda</t>
        </is>
      </c>
      <c r="E507" s="16" t="inlineStr">
        <is>
          <t>Syarat jumlah dihitung per menu, dan seluruhnya harus terpenuhi</t>
        </is>
      </c>
      <c r="F507" s="16" t="inlineStr">
        <is>
          <t>F-DS-10, F-DS-12</t>
        </is>
      </c>
      <c r="G507" s="16" t="inlineStr"/>
      <c r="H507" s="16" t="inlineStr"/>
      <c r="I507" s="16" t="inlineStr"/>
    </row>
    <row r="508">
      <c r="A508" s="13" t="inlineStr">
        <is>
          <t>Regresi — bug yang pernah terjadi</t>
        </is>
      </c>
      <c r="B508" s="14" t="inlineStr">
        <is>
          <t>TC-RG-07</t>
        </is>
      </c>
      <c r="C508" s="19" t="inlineStr">
        <is>
          <t>P2</t>
        </is>
      </c>
      <c r="D508" s="13" t="inlineStr">
        <is>
          <t>Tombol pilih/hapus di kotak masuk tidak bereaksi sama sekali</t>
        </is>
      </c>
      <c r="E508" s="13" t="inlineStr">
        <is>
          <t>Bekerja di kotak masuk karyawan dan pelanggan</t>
        </is>
      </c>
      <c r="F508" s="13" t="inlineStr">
        <is>
          <t>F-IN-15</t>
        </is>
      </c>
      <c r="G508" s="13" t="inlineStr"/>
      <c r="H508" s="13" t="inlineStr"/>
      <c r="I508" s="13" t="inlineStr"/>
    </row>
    <row r="509">
      <c r="A509" s="16" t="inlineStr">
        <is>
          <t>Regresi — bug yang pernah terjadi</t>
        </is>
      </c>
      <c r="B509" s="17" t="inlineStr">
        <is>
          <t>TC-RG-08</t>
        </is>
      </c>
      <c r="C509" s="20" t="inlineStr">
        <is>
          <t>P2</t>
        </is>
      </c>
      <c r="D509" s="16" t="inlineStr">
        <is>
          <t>Layar Diskon dari hub Kasir menyebut "Belum ada produk di resto ini"</t>
        </is>
      </c>
      <c r="E509" s="16" t="inlineStr">
        <is>
          <t>Daftar menu termuat</t>
        </is>
      </c>
      <c r="F509" s="16" t="inlineStr">
        <is>
          <t>F-DS-01</t>
        </is>
      </c>
      <c r="G509" s="16" t="inlineStr"/>
      <c r="H509" s="16" t="inlineStr"/>
      <c r="I509" s="16" t="inlineStr"/>
    </row>
    <row r="510">
      <c r="A510" s="13" t="inlineStr">
        <is>
          <t>Regresi — bug yang pernah terjadi</t>
        </is>
      </c>
      <c r="B510" s="14" t="inlineStr">
        <is>
          <t>TC-RG-09</t>
        </is>
      </c>
      <c r="C510" s="19" t="inlineStr">
        <is>
          <t>P2</t>
        </is>
      </c>
      <c r="D510" s="13" t="inlineStr">
        <is>
          <t>Kasir tidak bisa membuka detail jurnal — terlihat seperti GL belum dipetakan</t>
        </is>
      </c>
      <c r="E510" s="13" t="inlineStr">
        <is>
          <t>Detail jurnal terbuka</t>
        </is>
      </c>
      <c r="F510" s="13" t="inlineStr">
        <is>
          <t>F-KS-13</t>
        </is>
      </c>
      <c r="G510" s="13" t="inlineStr"/>
      <c r="H510" s="13" t="inlineStr"/>
      <c r="I510" s="13" t="inlineStr"/>
    </row>
    <row r="511">
      <c r="A511" s="16" t="inlineStr">
        <is>
          <t>Regresi — bug yang pernah terjadi</t>
        </is>
      </c>
      <c r="B511" s="17" t="inlineStr">
        <is>
          <t>TC-RG-10</t>
        </is>
      </c>
      <c r="C511" s="20" t="inlineStr">
        <is>
          <t>P2</t>
        </is>
      </c>
      <c r="D511" s="16" t="inlineStr">
        <is>
          <t>Layar dapur meninggalkan jejak warna lama saat tema diganti</t>
        </is>
      </c>
      <c r="E511" s="16" t="inlineStr">
        <is>
          <t>Seluruh layar berganti bersih</t>
        </is>
      </c>
      <c r="F511" s="16" t="inlineStr">
        <is>
          <t>A-18</t>
        </is>
      </c>
      <c r="G511" s="16" t="inlineStr"/>
      <c r="H511" s="16" t="inlineStr"/>
      <c r="I511" s="16" t="inlineStr"/>
    </row>
    <row r="512">
      <c r="A512" s="13" t="inlineStr">
        <is>
          <t>Regresi — bug yang pernah terjadi</t>
        </is>
      </c>
      <c r="B512" s="14" t="inlineStr">
        <is>
          <t>TC-RG-11</t>
        </is>
      </c>
      <c r="C512" s="19" t="inlineStr">
        <is>
          <t>P2</t>
        </is>
      </c>
      <c r="D512" s="13" t="inlineStr">
        <is>
          <t>Banner promo menempel di atas, tidak ikut tergulir</t>
        </is>
      </c>
      <c r="E512" s="13" t="inlineStr">
        <is>
          <t>Ikut tergulir bersama menunya</t>
        </is>
      </c>
      <c r="F512" s="13" t="inlineStr">
        <is>
          <t>F-CU-16, A-12</t>
        </is>
      </c>
      <c r="G512" s="13" t="inlineStr"/>
      <c r="H512" s="13" t="inlineStr"/>
      <c r="I512" s="13" t="inlineStr"/>
    </row>
    <row r="513">
      <c r="A513" s="16" t="inlineStr">
        <is>
          <t>Regresi — bug yang pernah terjadi</t>
        </is>
      </c>
      <c r="B513" s="17" t="inlineStr">
        <is>
          <t>TC-RG-12</t>
        </is>
      </c>
      <c r="C513" s="20" t="inlineStr">
        <is>
          <t>P2</t>
        </is>
      </c>
      <c r="D513" s="16" t="inlineStr">
        <is>
          <t>Owner hanya bisa melihat Info Pembayaran</t>
        </is>
      </c>
      <c r="E513" s="16" t="inlineStr">
        <is>
          <t>Owner bisa mengubahnya</t>
        </is>
      </c>
      <c r="F513" s="16" t="inlineStr">
        <is>
          <t>F-SD-02</t>
        </is>
      </c>
      <c r="G513" s="16" t="inlineStr"/>
      <c r="H513" s="16" t="inlineStr"/>
      <c r="I513" s="16" t="inlineStr"/>
    </row>
    <row r="514">
      <c r="A514" s="13" t="inlineStr">
        <is>
          <t>Regresi — bug yang pernah terjadi</t>
        </is>
      </c>
      <c r="B514" s="14" t="inlineStr">
        <is>
          <t>TC-RG-13</t>
        </is>
      </c>
      <c r="C514" s="15" t="inlineStr">
        <is>
          <t>P1</t>
        </is>
      </c>
      <c r="D514" s="13" t="inlineStr">
        <is>
          <t>Migrasi gagal: daftar nilai batasan menyempit saat berkas lama dijalankan ulang</t>
        </is>
      </c>
      <c r="E514" s="13" t="inlineStr">
        <is>
          <t>Menjalankan ulang berkas mana pun tidak pernah menolak data yang sudah ada</t>
        </is>
      </c>
      <c r="F514" s="13" t="inlineStr">
        <is>
          <t>TSD §11.1</t>
        </is>
      </c>
      <c r="G514" s="13" t="inlineStr"/>
      <c r="H514" s="13" t="inlineStr"/>
      <c r="I514" s="13" t="inlineStr"/>
    </row>
    <row r="515">
      <c r="A515" s="16" t="inlineStr">
        <is>
          <t>Regresi — bug yang pernah terjadi</t>
        </is>
      </c>
      <c r="B515" s="17" t="inlineStr">
        <is>
          <t>TC-RG-14</t>
        </is>
      </c>
      <c r="C515" s="20" t="inlineStr">
        <is>
          <t>P2</t>
        </is>
      </c>
      <c r="D515" s="16" t="inlineStr">
        <is>
          <t>QR meja borongan bernomor 07, berbeda dengan mode satu meja</t>
        </is>
      </c>
      <c r="E515" s="16" t="inlineStr">
        <is>
          <t>Keduanya menulis 7</t>
        </is>
      </c>
      <c r="F515" s="16" t="inlineStr">
        <is>
          <t>F-QR-07</t>
        </is>
      </c>
      <c r="G515" s="16" t="inlineStr"/>
      <c r="H515" s="16" t="inlineStr"/>
      <c r="I515" s="16" t="inlineStr"/>
    </row>
    <row r="516">
      <c r="A516" s="13" t="inlineStr">
        <is>
          <t>Uji Ujung-ke-Ujung</t>
        </is>
      </c>
      <c r="B516" s="14" t="inlineStr">
        <is>
          <t>E2E-09</t>
        </is>
      </c>
      <c r="C516" s="15" t="inlineStr">
        <is>
          <t>P1</t>
        </is>
      </c>
      <c r="D516" s="13" t="inlineStr">
        <is>
          <t>Satu siklus langganan penuh</t>
        </is>
      </c>
      <c r="E516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516" s="13" t="inlineStr">
        <is>
          <t>F-BL-07 … F-BL-18, TSD §7.3</t>
        </is>
      </c>
      <c r="G516" s="13" t="inlineStr"/>
      <c r="H516" s="13" t="inlineStr"/>
      <c r="I516" s="13" t="inlineStr"/>
    </row>
    <row r="517">
      <c r="A517" s="16" t="inlineStr">
        <is>
          <t>Uji Ujung-ke-Ujung</t>
        </is>
      </c>
      <c r="B517" s="17" t="inlineStr">
        <is>
          <t>E2E-01</t>
        </is>
      </c>
      <c r="C517" s="18" t="inlineStr">
        <is>
          <t>P1</t>
        </is>
      </c>
      <c r="D517" s="16" t="inlineStr">
        <is>
          <t>Pelanggan bayar QRIS</t>
        </is>
      </c>
      <c r="E51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517" s="16" t="inlineStr">
        <is>
          <t>F-CU-09, F-PG-02, F-CH-06, TSD §6, TSD §7.1</t>
        </is>
      </c>
      <c r="G517" s="16" t="inlineStr"/>
      <c r="H517" s="16" t="inlineStr"/>
      <c r="I517" s="16" t="inlineStr"/>
    </row>
    <row r="518">
      <c r="A518" s="13" t="inlineStr">
        <is>
          <t>Uji Ujung-ke-Ujung</t>
        </is>
      </c>
      <c r="B518" s="14" t="inlineStr">
        <is>
          <t>E2E-02</t>
        </is>
      </c>
      <c r="C518" s="15" t="inlineStr">
        <is>
          <t>P1</t>
        </is>
      </c>
      <c r="D518" s="13" t="inlineStr">
        <is>
          <t>Pelanggan bayar tunai di kasir</t>
        </is>
      </c>
      <c r="E51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518" s="13" t="inlineStr">
        <is>
          <t>F-CU-09, F-PP-01, F-PP-06, F-PP-07, F-CH-06, A-02, A-13</t>
        </is>
      </c>
      <c r="G518" s="13" t="inlineStr"/>
      <c r="H518" s="13" t="inlineStr"/>
      <c r="I518" s="13" t="inlineStr"/>
    </row>
    <row r="519">
      <c r="A519" s="16" t="inlineStr">
        <is>
          <t>Uji Ujung-ke-Ujung</t>
        </is>
      </c>
      <c r="B519" s="17" t="inlineStr">
        <is>
          <t>E2E-03</t>
        </is>
      </c>
      <c r="C519" s="18" t="inlineStr">
        <is>
          <t>P1</t>
        </is>
      </c>
      <c r="D519" s="16" t="inlineStr">
        <is>
          <t>Tunai dengan cara bayar diganti</t>
        </is>
      </c>
      <c r="E519" s="16" t="inlineStr">
        <is>
          <t>1. Ulangi E2E-02, tapi pada langkah 4 ganti cara bayarnya ke QRIS.
2. Pesanannya harus tetap masuk Riwayat Kasir, dan masuk Non Cash
3. di Saldo.</t>
        </is>
      </c>
      <c r="F519" s="16" t="inlineStr">
        <is>
          <t>F-PP-09, A-13, TSD §4.2</t>
        </is>
      </c>
      <c r="G519" s="16" t="inlineStr"/>
      <c r="H519" s="16" t="inlineStr"/>
      <c r="I519" s="16" t="inlineStr"/>
    </row>
    <row r="520">
      <c r="A520" s="13" t="inlineStr">
        <is>
          <t>Uji Ujung-ke-Ujung</t>
        </is>
      </c>
      <c r="B520" s="14" t="inlineStr">
        <is>
          <t>E2E-04</t>
        </is>
      </c>
      <c r="C520" s="15" t="inlineStr">
        <is>
          <t>P1</t>
        </is>
      </c>
      <c r="D520" s="13" t="inlineStr">
        <is>
          <t>Setor tunai ke rekening</t>
        </is>
      </c>
      <c r="E52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520" s="13" t="inlineStr">
        <is>
          <t>F-SD-01, F-SD-05, A-05, TSD §6.4</t>
        </is>
      </c>
      <c r="G520" s="13" t="inlineStr"/>
      <c r="H520" s="13" t="inlineStr"/>
      <c r="I520" s="13" t="inlineStr"/>
    </row>
    <row r="521">
      <c r="A521" s="16" t="inlineStr">
        <is>
          <t>Uji Ujung-ke-Ujung</t>
        </is>
      </c>
      <c r="B521" s="17" t="inlineStr">
        <is>
          <t>E2E-05</t>
        </is>
      </c>
      <c r="C521" s="18" t="inlineStr">
        <is>
          <t>P1</t>
        </is>
      </c>
      <c r="D521" s="16" t="inlineStr">
        <is>
          <t>Top up petty cash</t>
        </is>
      </c>
      <c r="E521" s="16" t="inlineStr">
        <is>
          <t>1. Sama polanya dengan E2E-04, lewat GL Suspense Petty Cash. Top up
2. Rp 100.000 harus menambah Petty Cash Rp 100.000 — bukan Rp 200.000.</t>
        </is>
      </c>
      <c r="F521" s="16" t="inlineStr">
        <is>
          <t>F-FN-03, TSD §6.4</t>
        </is>
      </c>
      <c r="G521" s="16" t="inlineStr"/>
      <c r="H521" s="16" t="inlineStr"/>
      <c r="I521" s="16" t="inlineStr"/>
    </row>
    <row r="522">
      <c r="A522" s="13" t="inlineStr">
        <is>
          <t>Uji Ujung-ke-Ujung</t>
        </is>
      </c>
      <c r="B522" s="14" t="inlineStr">
        <is>
          <t>E2E-06</t>
        </is>
      </c>
      <c r="C522" s="15" t="inlineStr">
        <is>
          <t>P1</t>
        </is>
      </c>
      <c r="D522" s="13" t="inlineStr">
        <is>
          <t>Promo bundling dari HP pelanggan</t>
        </is>
      </c>
      <c r="E52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522" s="13" t="inlineStr">
        <is>
          <t>F-DS-10, F-DS-12, F-CU-17, F-DS-08, F-DS-09, A-14</t>
        </is>
      </c>
      <c r="G522" s="13" t="inlineStr"/>
      <c r="H522" s="13" t="inlineStr"/>
      <c r="I522" s="13" t="inlineStr"/>
    </row>
    <row r="523">
      <c r="A523" s="16" t="inlineStr">
        <is>
          <t>Uji Ujung-ke-Ujung</t>
        </is>
      </c>
      <c r="B523" s="17" t="inlineStr">
        <is>
          <t>E2E-07</t>
        </is>
      </c>
      <c r="C523" s="18" t="inlineStr">
        <is>
          <t>P1</t>
        </is>
      </c>
      <c r="D523" s="16" t="inlineStr">
        <is>
          <t>Pembatalan oleh pelanggan</t>
        </is>
      </c>
      <c r="E52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523" s="16" t="inlineStr">
        <is>
          <t>F-CN-01, A-17</t>
        </is>
      </c>
      <c r="G523" s="16" t="inlineStr"/>
      <c r="H523" s="16" t="inlineStr"/>
      <c r="I523" s="16" t="inlineStr"/>
    </row>
    <row r="524">
      <c r="A524" s="13" t="inlineStr">
        <is>
          <t>Uji Ujung-ke-Ujung</t>
        </is>
      </c>
      <c r="B524" s="14" t="inlineStr">
        <is>
          <t>E2E-08</t>
        </is>
      </c>
      <c r="C524" s="15" t="inlineStr">
        <is>
          <t>P1</t>
        </is>
      </c>
      <c r="D524" s="13" t="inlineStr">
        <is>
          <t>Isolasi antar cabang</t>
        </is>
      </c>
      <c r="E52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524" s="13" t="inlineStr">
        <is>
          <t>F-AD-08, F-IN-10, A-10</t>
        </is>
      </c>
      <c r="G524" s="13" t="inlineStr"/>
      <c r="H524" s="13" t="inlineStr"/>
      <c r="I524" s="13" t="inlineStr"/>
    </row>
  </sheetData>
  <autoFilter ref="A1:I524"/>
  <dataValidations count="1">
    <dataValidation sqref="G2:G52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2026-08-19T21:10:44Z</dcterms:created>
  <dcterms:modified xsi:type="dcterms:W3CDTF">2026-08-19T21:10:45Z</dcterms:modified>
</cp:coreProperties>
</file>