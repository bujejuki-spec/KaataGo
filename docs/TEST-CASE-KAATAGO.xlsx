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Tombol Makro (opsional)" sheetId="5" state="visible" r:id="rId5"/>
  </sheets>
  <definedNames>
    <definedName name="_xlnm._FilterDatabase" localSheetId="1" hidden="1">'Kasus Uji'!$A$1:$I$244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3"/>
    </font>
    <font>
      <sz val="10.5"/>
    </font>
    <font>
      <name val="Menlo"/>
      <sz val="9.5"/>
    </font>
    <font>
      <i val="1"/>
      <color rgb="006E728C"/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  <font>
      <b val="1"/>
      <color rgb="004F46E5"/>
      <sz val="12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3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Uji'!C2:C244,"P1")</f>
        <v/>
      </c>
      <c r="C5" s="5">
        <f>COUNTIFS('Kasus Uji'!C2:C244,"P1",'Kasus Uji'!G2:G244,"Lulus")</f>
        <v/>
      </c>
      <c r="D5" s="5">
        <f>COUNTIFS('Kasus Uji'!C2:C244,"P1",'Kasus Uji'!G2:G244,"Gagal")</f>
        <v/>
      </c>
      <c r="E5" s="5">
        <f>COUNTIFS('Kasus Uji'!C2:C244,"P1",'Kasus Uji'!G2:G244,"Terblokir")</f>
        <v/>
      </c>
      <c r="F5" s="5">
        <f>COUNTIFS('Kasus Uji'!C2:C244,"P1",'Kasus Uji'!G2:G244,"Dilewati")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Uji'!C2:C244,"P2")</f>
        <v/>
      </c>
      <c r="C6" s="5">
        <f>COUNTIFS('Kasus Uji'!C2:C244,"P2",'Kasus Uji'!G2:G244,"Lulus")</f>
        <v/>
      </c>
      <c r="D6" s="5">
        <f>COUNTIFS('Kasus Uji'!C2:C244,"P2",'Kasus Uji'!G2:G244,"Gagal")</f>
        <v/>
      </c>
      <c r="E6" s="5">
        <f>COUNTIFS('Kasus Uji'!C2:C244,"P2",'Kasus Uji'!G2:G244,"Terblokir")</f>
        <v/>
      </c>
      <c r="F6" s="5">
        <f>COUNTIFS('Kasus Uji'!C2:C244,"P2",'Kasus Uji'!G2:G244,"Dilewati")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Uji'!C2:C244,"P3")</f>
        <v/>
      </c>
      <c r="C7" s="5">
        <f>COUNTIFS('Kasus Uji'!C2:C244,"P3",'Kasus Uji'!G2:G244,"Lulus")</f>
        <v/>
      </c>
      <c r="D7" s="5">
        <f>COUNTIFS('Kasus Uji'!C2:C244,"P3",'Kasus Uji'!G2:G244,"Gagal")</f>
        <v/>
      </c>
      <c r="E7" s="5">
        <f>COUNTIFS('Kasus Uji'!C2:C244,"P3",'Kasus Uji'!G2:G244,"Terblokir")</f>
        <v/>
      </c>
      <c r="F7" s="5">
        <f>COUNTIFS('Kasus Uji'!C2:C244,"P3",'Kasus Uji'!G2:G244,"Dilewati")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Uji'!A2:A244,"Pelanggan")</f>
        <v/>
      </c>
      <c r="C12" s="5">
        <f>COUNTIFS('Kasus Uji'!A2:A244,"Pelanggan",'Kasus Uji'!G2:G244,"Lulus")</f>
        <v/>
      </c>
      <c r="D12" s="5">
        <f>COUNTIFS('Kasus Uji'!A2:A244,"Pelanggan",'Kasus Uji'!G2:G244,"Gagal")</f>
        <v/>
      </c>
      <c r="E12" s="5">
        <f>COUNTIFS('Kasus Uji'!A2:A244,"Pelanggan",'Kasus Uji'!G2:G244,"Terblokir")</f>
        <v/>
      </c>
      <c r="F12" s="5">
        <f>COUNTIFS('Kasus Uji'!A2:A244,"Pelanggan",'Kasus Uji'!G2:G244,"Dilewati")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Uji'!A2:A244,"Kasir")</f>
        <v/>
      </c>
      <c r="C13" s="5">
        <f>COUNTIFS('Kasus Uji'!A2:A244,"Kasir",'Kasus Uji'!G2:G244,"Lulus")</f>
        <v/>
      </c>
      <c r="D13" s="5">
        <f>COUNTIFS('Kasus Uji'!A2:A244,"Kasir",'Kasus Uji'!G2:G244,"Gagal")</f>
        <v/>
      </c>
      <c r="E13" s="5">
        <f>COUNTIFS('Kasus Uji'!A2:A244,"Kasir",'Kasus Uji'!G2:G244,"Terblokir")</f>
        <v/>
      </c>
      <c r="F13" s="5">
        <f>COUNTIFS('Kasus Uji'!A2:A244,"Kasir",'Kasus Uji'!G2:G244,"Dilewati")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Uji'!A2:A244,"Pending Payment")</f>
        <v/>
      </c>
      <c r="C14" s="5">
        <f>COUNTIFS('Kasus Uji'!A2:A244,"Pending Payment",'Kasus Uji'!G2:G244,"Lulus")</f>
        <v/>
      </c>
      <c r="D14" s="5">
        <f>COUNTIFS('Kasus Uji'!A2:A244,"Pending Payment",'Kasus Uji'!G2:G244,"Gagal")</f>
        <v/>
      </c>
      <c r="E14" s="5">
        <f>COUNTIFS('Kasus Uji'!A2:A244,"Pending Payment",'Kasus Uji'!G2:G244,"Terblokir")</f>
        <v/>
      </c>
      <c r="F14" s="5">
        <f>COUNTIFS('Kasus Uji'!A2:A244,"Pending Payment",'Kasus Uji'!G2:G244,"Dilewati")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Uji'!A2:A244,"Dapur")</f>
        <v/>
      </c>
      <c r="C15" s="5">
        <f>COUNTIFS('Kasus Uji'!A2:A244,"Dapur",'Kasus Uji'!G2:G244,"Lulus")</f>
        <v/>
      </c>
      <c r="D15" s="5">
        <f>COUNTIFS('Kasus Uji'!A2:A244,"Dapur",'Kasus Uji'!G2:G244,"Gagal")</f>
        <v/>
      </c>
      <c r="E15" s="5">
        <f>COUNTIFS('Kasus Uji'!A2:A244,"Dapur",'Kasus Uji'!G2:G244,"Terblokir")</f>
        <v/>
      </c>
      <c r="F15" s="5">
        <f>COUNTIFS('Kasus Uji'!A2:A244,"Dapur",'Kasus Uji'!G2:G244,"Dilewati")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Uji'!A2:A244,"Keuangan")</f>
        <v/>
      </c>
      <c r="C16" s="5">
        <f>COUNTIFS('Kasus Uji'!A2:A244,"Keuangan",'Kasus Uji'!G2:G244,"Lulus")</f>
        <v/>
      </c>
      <c r="D16" s="5">
        <f>COUNTIFS('Kasus Uji'!A2:A244,"Keuangan",'Kasus Uji'!G2:G244,"Gagal")</f>
        <v/>
      </c>
      <c r="E16" s="5">
        <f>COUNTIFS('Kasus Uji'!A2:A244,"Keuangan",'Kasus Uji'!G2:G244,"Terblokir")</f>
        <v/>
      </c>
      <c r="F16" s="5">
        <f>COUNTIFS('Kasus Uji'!A2:A244,"Keuangan",'Kasus Uji'!G2:G244,"Dilewati")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Uji'!A2:A244,"Setor Saldo Cash")</f>
        <v/>
      </c>
      <c r="C17" s="5">
        <f>COUNTIFS('Kasus Uji'!A2:A244,"Setor Saldo Cash",'Kasus Uji'!G2:G244,"Lulus")</f>
        <v/>
      </c>
      <c r="D17" s="5">
        <f>COUNTIFS('Kasus Uji'!A2:A244,"Setor Saldo Cash",'Kasus Uji'!G2:G244,"Gagal")</f>
        <v/>
      </c>
      <c r="E17" s="5">
        <f>COUNTIFS('Kasus Uji'!A2:A244,"Setor Saldo Cash",'Kasus Uji'!G2:G244,"Terblokir")</f>
        <v/>
      </c>
      <c r="F17" s="5">
        <f>COUNTIFS('Kasus Uji'!A2:A244,"Setor Saldo Cash",'Kasus Uji'!G2:G244,"Dilewati")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Uji'!A2:A244,"Katalog &amp; Pengaturan")</f>
        <v/>
      </c>
      <c r="C18" s="5">
        <f>COUNTIFS('Kasus Uji'!A2:A244,"Katalog &amp; Pengaturan",'Kasus Uji'!G2:G244,"Lulus")</f>
        <v/>
      </c>
      <c r="D18" s="5">
        <f>COUNTIFS('Kasus Uji'!A2:A244,"Katalog &amp; Pengaturan",'Kasus Uji'!G2:G244,"Gagal")</f>
        <v/>
      </c>
      <c r="E18" s="5">
        <f>COUNTIFS('Kasus Uji'!A2:A244,"Katalog &amp; Pengaturan",'Kasus Uji'!G2:G244,"Terblokir")</f>
        <v/>
      </c>
      <c r="F18" s="5">
        <f>COUNTIFS('Kasus Uji'!A2:A244,"Katalog &amp; Pengaturan",'Kasus Uji'!G2:G244,"Dilewati")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Uji'!A2:A244,"QR Meja")</f>
        <v/>
      </c>
      <c r="C19" s="5">
        <f>COUNTIFS('Kasus Uji'!A2:A244,"QR Meja",'Kasus Uji'!G2:G244,"Lulus")</f>
        <v/>
      </c>
      <c r="D19" s="5">
        <f>COUNTIFS('Kasus Uji'!A2:A244,"QR Meja",'Kasus Uji'!G2:G244,"Gagal")</f>
        <v/>
      </c>
      <c r="E19" s="5">
        <f>COUNTIFS('Kasus Uji'!A2:A244,"QR Meja",'Kasus Uji'!G2:G244,"Terblokir")</f>
        <v/>
      </c>
      <c r="F19" s="5">
        <f>COUNTIFS('Kasus Uji'!A2:A244,"QR Meja",'Kasus Uji'!G2:G244,"Dilewati")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Uji'!A2:A244,"Diskon")</f>
        <v/>
      </c>
      <c r="C20" s="5">
        <f>COUNTIFS('Kasus Uji'!A2:A244,"Diskon",'Kasus Uji'!G2:G244,"Lulus")</f>
        <v/>
      </c>
      <c r="D20" s="5">
        <f>COUNTIFS('Kasus Uji'!A2:A244,"Diskon",'Kasus Uji'!G2:G244,"Gagal")</f>
        <v/>
      </c>
      <c r="E20" s="5">
        <f>COUNTIFS('Kasus Uji'!A2:A244,"Diskon",'Kasus Uji'!G2:G244,"Terblokir")</f>
        <v/>
      </c>
      <c r="F20" s="5">
        <f>COUNTIFS('Kasus Uji'!A2:A244,"Diskon",'Kasus Uji'!G2:G244,"Dilewati")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Uji'!A2:A244,"Kotak Masuk &amp; Pengumuman")</f>
        <v/>
      </c>
      <c r="C21" s="5">
        <f>COUNTIFS('Kasus Uji'!A2:A244,"Kotak Masuk &amp; Pengumuman",'Kasus Uji'!G2:G244,"Lulus")</f>
        <v/>
      </c>
      <c r="D21" s="5">
        <f>COUNTIFS('Kasus Uji'!A2:A244,"Kotak Masuk &amp; Pengumuman",'Kasus Uji'!G2:G244,"Gagal")</f>
        <v/>
      </c>
      <c r="E21" s="5">
        <f>COUNTIFS('Kasus Uji'!A2:A244,"Kotak Masuk &amp; Pengumuman",'Kasus Uji'!G2:G244,"Terblokir")</f>
        <v/>
      </c>
      <c r="F21" s="5">
        <f>COUNTIFS('Kasus Uji'!A2:A244,"Kotak Masuk &amp; Pengumuman",'Kasus Uji'!G2:G244,"Dilewati")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Uji'!A2:A244,"Pembayaran QRIS")</f>
        <v/>
      </c>
      <c r="C22" s="5">
        <f>COUNTIFS('Kasus Uji'!A2:A244,"Pembayaran QRIS",'Kasus Uji'!G2:G244,"Lulus")</f>
        <v/>
      </c>
      <c r="D22" s="5">
        <f>COUNTIFS('Kasus Uji'!A2:A244,"Pembayaran QRIS",'Kasus Uji'!G2:G244,"Gagal")</f>
        <v/>
      </c>
      <c r="E22" s="5">
        <f>COUNTIFS('Kasus Uji'!A2:A244,"Pembayaran QRIS",'Kasus Uji'!G2:G244,"Terblokir")</f>
        <v/>
      </c>
      <c r="F22" s="5">
        <f>COUNTIFS('Kasus Uji'!A2:A244,"Pembayaran QRIS",'Kasus Uji'!G2:G244,"Dilewati")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Uji'!A2:A244,"Pembatalan &amp; Kedaluwarsa")</f>
        <v/>
      </c>
      <c r="C23" s="5">
        <f>COUNTIFS('Kasus Uji'!A2:A244,"Pembatalan &amp; Kedaluwarsa",'Kasus Uji'!G2:G244,"Lulus")</f>
        <v/>
      </c>
      <c r="D23" s="5">
        <f>COUNTIFS('Kasus Uji'!A2:A244,"Pembatalan &amp; Kedaluwarsa",'Kasus Uji'!G2:G244,"Gagal")</f>
        <v/>
      </c>
      <c r="E23" s="5">
        <f>COUNTIFS('Kasus Uji'!A2:A244,"Pembatalan &amp; Kedaluwarsa",'Kasus Uji'!G2:G244,"Terblokir")</f>
        <v/>
      </c>
      <c r="F23" s="5">
        <f>COUNTIFS('Kasus Uji'!A2:A244,"Pembatalan &amp; Kedaluwarsa",'Kasus Uji'!G2:G244,"Dilewati")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Uji'!A2:A244,"Sesi Meja &amp; Identitas")</f>
        <v/>
      </c>
      <c r="C24" s="5">
        <f>COUNTIFS('Kasus Uji'!A2:A244,"Sesi Meja &amp; Identitas",'Kasus Uji'!G2:G244,"Lulus")</f>
        <v/>
      </c>
      <c r="D24" s="5">
        <f>COUNTIFS('Kasus Uji'!A2:A244,"Sesi Meja &amp; Identitas",'Kasus Uji'!G2:G244,"Gagal")</f>
        <v/>
      </c>
      <c r="E24" s="5">
        <f>COUNTIFS('Kasus Uji'!A2:A244,"Sesi Meja &amp; Identitas",'Kasus Uji'!G2:G244,"Terblokir")</f>
        <v/>
      </c>
      <c r="F24" s="5">
        <f>COUNTIFS('Kasus Uji'!A2:A244,"Sesi Meja &amp; Identitas",'Kasus Uji'!G2:G244,"Dilewati")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Uji'!A2:A244,"Tampilan")</f>
        <v/>
      </c>
      <c r="C25" s="5">
        <f>COUNTIFS('Kasus Uji'!A2:A244,"Tampilan",'Kasus Uji'!G2:G244,"Lulus")</f>
        <v/>
      </c>
      <c r="D25" s="5">
        <f>COUNTIFS('Kasus Uji'!A2:A244,"Tampilan",'Kasus Uji'!G2:G244,"Gagal")</f>
        <v/>
      </c>
      <c r="E25" s="5">
        <f>COUNTIFS('Kasus Uji'!A2:A244,"Tampilan",'Kasus Uji'!G2:G244,"Terblokir")</f>
        <v/>
      </c>
      <c r="F25" s="5">
        <f>COUNTIFS('Kasus Uji'!A2:A244,"Tampilan",'Kasus Uji'!G2:G244,"Dilewati")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Uji'!A2:A244,"Super Admin")</f>
        <v/>
      </c>
      <c r="C26" s="5">
        <f>COUNTIFS('Kasus Uji'!A2:A244,"Super Admin",'Kasus Uji'!G2:G244,"Lulus")</f>
        <v/>
      </c>
      <c r="D26" s="5">
        <f>COUNTIFS('Kasus Uji'!A2:A244,"Super Admin",'Kasus Uji'!G2:G244,"Gagal")</f>
        <v/>
      </c>
      <c r="E26" s="5">
        <f>COUNTIFS('Kasus Uji'!A2:A244,"Super Admin",'Kasus Uji'!G2:G244,"Terblokir")</f>
        <v/>
      </c>
      <c r="F26" s="5">
        <f>COUNTIFS('Kasus Uji'!A2:A244,"Super Admin",'Kasus Uji'!G2:G244,"Dilewati")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Uji'!A2:A244,"Pembaruan Aplikasi")</f>
        <v/>
      </c>
      <c r="C27" s="5">
        <f>COUNTIFS('Kasus Uji'!A2:A244,"Pembaruan Aplikasi",'Kasus Uji'!G2:G244,"Lulus")</f>
        <v/>
      </c>
      <c r="D27" s="5">
        <f>COUNTIFS('Kasus Uji'!A2:A244,"Pembaruan Aplikasi",'Kasus Uji'!G2:G244,"Gagal")</f>
        <v/>
      </c>
      <c r="E27" s="5">
        <f>COUNTIFS('Kasus Uji'!A2:A244,"Pembaruan Aplikasi",'Kasus Uji'!G2:G244,"Terblokir")</f>
        <v/>
      </c>
      <c r="F27" s="5">
        <f>COUNTIFS('Kasus Uji'!A2:A244,"Pembaruan Aplikasi",'Kasus Uji'!G2:G244,"Dilewati")</f>
        <v/>
      </c>
      <c r="G27" s="5">
        <f>B27-SUM(C27:F27)</f>
        <v/>
      </c>
    </row>
    <row r="28">
      <c r="A28" s="4" t="inlineStr">
        <is>
          <t>Uji Teknis (lingkup TSD)</t>
        </is>
      </c>
      <c r="B28" s="5">
        <f>COUNTIF('Kasus Uji'!A2:A244,"Uji Teknis (lingkup TSD)")</f>
        <v/>
      </c>
      <c r="C28" s="5">
        <f>COUNTIFS('Kasus Uji'!A2:A244,"Uji Teknis (lingkup TSD)",'Kasus Uji'!G2:G244,"Lulus")</f>
        <v/>
      </c>
      <c r="D28" s="5">
        <f>COUNTIFS('Kasus Uji'!A2:A244,"Uji Teknis (lingkup TSD)",'Kasus Uji'!G2:G244,"Gagal")</f>
        <v/>
      </c>
      <c r="E28" s="5">
        <f>COUNTIFS('Kasus Uji'!A2:A244,"Uji Teknis (lingkup TSD)",'Kasus Uji'!G2:G244,"Terblokir")</f>
        <v/>
      </c>
      <c r="F28" s="5">
        <f>COUNTIFS('Kasus Uji'!A2:A244,"Uji Teknis (lingkup TSD)",'Kasus Uji'!G2:G244,"Dilewati")</f>
        <v/>
      </c>
      <c r="G28" s="5">
        <f>B28-SUM(C28:F28)</f>
        <v/>
      </c>
    </row>
    <row r="29">
      <c r="A29" s="4" t="inlineStr">
        <is>
          <t>Regresi — bug yang pernah terjadi</t>
        </is>
      </c>
      <c r="B29" s="5">
        <f>COUNTIF('Kasus Uji'!A2:A244,"Regresi — bug yang pernah terjadi")</f>
        <v/>
      </c>
      <c r="C29" s="5">
        <f>COUNTIFS('Kasus Uji'!A2:A244,"Regresi — bug yang pernah terjadi",'Kasus Uji'!G2:G244,"Lulus")</f>
        <v/>
      </c>
      <c r="D29" s="5">
        <f>COUNTIFS('Kasus Uji'!A2:A244,"Regresi — bug yang pernah terjadi",'Kasus Uji'!G2:G244,"Gagal")</f>
        <v/>
      </c>
      <c r="E29" s="5">
        <f>COUNTIFS('Kasus Uji'!A2:A244,"Regresi — bug yang pernah terjadi",'Kasus Uji'!G2:G244,"Terblokir")</f>
        <v/>
      </c>
      <c r="F29" s="5">
        <f>COUNTIFS('Kasus Uji'!A2:A244,"Regresi — bug yang pernah terjadi",'Kasus Uji'!G2:G244,"Dilewati")</f>
        <v/>
      </c>
      <c r="G29" s="5">
        <f>B29-SUM(C29:F29)</f>
        <v/>
      </c>
    </row>
    <row r="30">
      <c r="A30" s="4" t="inlineStr">
        <is>
          <t>Uji Ujung-ke-Ujung</t>
        </is>
      </c>
      <c r="B30" s="5">
        <f>COUNTIF('Kasus Uji'!A2:A244,"Uji Ujung-ke-Ujung")</f>
        <v/>
      </c>
      <c r="C30" s="5">
        <f>COUNTIFS('Kasus Uji'!A2:A244,"Uji Ujung-ke-Ujung",'Kasus Uji'!G2:G244,"Lulus")</f>
        <v/>
      </c>
      <c r="D30" s="5">
        <f>COUNTIFS('Kasus Uji'!A2:A244,"Uji Ujung-ke-Ujung",'Kasus Uji'!G2:G244,"Gagal")</f>
        <v/>
      </c>
      <c r="E30" s="5">
        <f>COUNTIFS('Kasus Uji'!A2:A244,"Uji Ujung-ke-Ujung",'Kasus Uji'!G2:G244,"Terblokir")</f>
        <v/>
      </c>
      <c r="F30" s="5">
        <f>COUNTIFS('Kasus Uji'!A2:A244,"Uji Ujung-ke-Ujung",'Kasus Uji'!G2:G244,"Dilewati")</f>
        <v/>
      </c>
      <c r="G30" s="5">
        <f>B30-SUM(C30:F30)</f>
        <v/>
      </c>
    </row>
    <row r="32">
      <c r="A32" s="9" t="inlineStr">
        <is>
          <t>Rilis ditahan selama masih ada P1 yang Gagal.</t>
        </is>
      </c>
    </row>
    <row r="34">
      <c r="A34" s="10" t="inlineStr">
        <is>
          <t>Temuan</t>
        </is>
      </c>
    </row>
    <row r="35">
      <c r="A35" s="11" t="inlineStr">
        <is>
          <t>Severity</t>
        </is>
      </c>
      <c r="B35" s="3" t="inlineStr">
        <is>
          <t>Jumlah</t>
        </is>
      </c>
      <c r="C35" s="3" t="inlineStr">
        <is>
          <t>Baru</t>
        </is>
      </c>
      <c r="D35" s="3" t="inlineStr">
        <is>
          <t>Dikonfirmasi</t>
        </is>
      </c>
      <c r="E35" s="3" t="inlineStr">
        <is>
          <t>Sedang diperbaiki</t>
        </is>
      </c>
      <c r="F35" s="3" t="inlineStr">
        <is>
          <t>Menunggu retest</t>
        </is>
      </c>
      <c r="G35" s="3" t="inlineStr">
        <is>
          <t>Ditutup</t>
        </is>
      </c>
    </row>
    <row r="36">
      <c r="A36" s="4" t="inlineStr">
        <is>
          <t>Blocker</t>
        </is>
      </c>
      <c r="B36" s="5">
        <f>COUNTIF(Defect!M5:M64,"Blocker")</f>
        <v/>
      </c>
      <c r="C36" s="5">
        <f>COUNTIFS(Defect!M5:M64,"Blocker",Defect!P5:P64,"Baru")</f>
        <v/>
      </c>
      <c r="D36" s="5">
        <f>COUNTIFS(Defect!M5:M64,"Blocker",Defect!P5:P64,"Dikonfirmasi")</f>
        <v/>
      </c>
      <c r="E36" s="5">
        <f>COUNTIFS(Defect!M5:M64,"Blocker",Defect!P5:P64,"Sedang diperbaiki")</f>
        <v/>
      </c>
      <c r="F36" s="5">
        <f>COUNTIFS(Defect!M5:M64,"Blocker",Defect!P5:P64,"Menunggu retest")</f>
        <v/>
      </c>
      <c r="G36" s="5">
        <f>COUNTIFS(Defect!M5:M64,"Blocker",Defect!P5:P64,"Ditutup")</f>
        <v/>
      </c>
    </row>
    <row r="37">
      <c r="A37" s="4" t="inlineStr">
        <is>
          <t>Major</t>
        </is>
      </c>
      <c r="B37" s="5">
        <f>COUNTIF(Defect!M5:M64,"Major")</f>
        <v/>
      </c>
      <c r="C37" s="5">
        <f>COUNTIFS(Defect!M5:M64,"Major",Defect!P5:P64,"Baru")</f>
        <v/>
      </c>
      <c r="D37" s="5">
        <f>COUNTIFS(Defect!M5:M64,"Major",Defect!P5:P64,"Dikonfirmasi")</f>
        <v/>
      </c>
      <c r="E37" s="5">
        <f>COUNTIFS(Defect!M5:M64,"Major",Defect!P5:P64,"Sedang diperbaiki")</f>
        <v/>
      </c>
      <c r="F37" s="5">
        <f>COUNTIFS(Defect!M5:M64,"Major",Defect!P5:P64,"Menunggu retest")</f>
        <v/>
      </c>
      <c r="G37" s="5">
        <f>COUNTIFS(Defect!M5:M64,"Major",Defect!P5:P64,"Ditutup")</f>
        <v/>
      </c>
    </row>
    <row r="38">
      <c r="A38" s="4" t="inlineStr">
        <is>
          <t>Minor</t>
        </is>
      </c>
      <c r="B38" s="5">
        <f>COUNTIF(Defect!M5:M64,"Minor")</f>
        <v/>
      </c>
      <c r="C38" s="5">
        <f>COUNTIFS(Defect!M5:M64,"Minor",Defect!P5:P64,"Baru")</f>
        <v/>
      </c>
      <c r="D38" s="5">
        <f>COUNTIFS(Defect!M5:M64,"Minor",Defect!P5:P64,"Dikonfirmasi")</f>
        <v/>
      </c>
      <c r="E38" s="5">
        <f>COUNTIFS(Defect!M5:M64,"Minor",Defect!P5:P64,"Sedang diperbaiki")</f>
        <v/>
      </c>
      <c r="F38" s="5">
        <f>COUNTIFS(Defect!M5:M64,"Minor",Defect!P5:P64,"Menunggu retest")</f>
        <v/>
      </c>
      <c r="G38" s="5">
        <f>COUNTIFS(Defect!M5:M64,"Minor",Defect!P5:P64,"Ditutup")</f>
        <v/>
      </c>
    </row>
    <row r="39">
      <c r="A39" s="4" t="inlineStr">
        <is>
          <t>Trivial</t>
        </is>
      </c>
      <c r="B39" s="5">
        <f>COUNTIF(Defect!M5:M64,"Trivial")</f>
        <v/>
      </c>
      <c r="C39" s="5">
        <f>COUNTIFS(Defect!M5:M64,"Trivial",Defect!P5:P64,"Baru")</f>
        <v/>
      </c>
      <c r="D39" s="5">
        <f>COUNTIFS(Defect!M5:M64,"Trivial",Defect!P5:P64,"Dikonfirmasi")</f>
        <v/>
      </c>
      <c r="E39" s="5">
        <f>COUNTIFS(Defect!M5:M64,"Trivial",Defect!P5:P64,"Sedang diperbaiki")</f>
        <v/>
      </c>
      <c r="F39" s="5">
        <f>COUNTIFS(Defect!M5:M64,"Trivial",Defect!P5:P64,"Menunggu retest")</f>
        <v/>
      </c>
      <c r="G39" s="5">
        <f>COUNTIFS(Defect!M5:M64,"Trivial",Defect!P5:P64,"Ditutup")</f>
        <v/>
      </c>
    </row>
    <row r="40">
      <c r="A40" s="6" t="inlineStr">
        <is>
          <t>TOTAL</t>
        </is>
      </c>
      <c r="B40" s="7">
        <f>SUM(B36:B39)</f>
        <v/>
      </c>
      <c r="C40" s="7">
        <f>SUM(C36:C39)</f>
        <v/>
      </c>
      <c r="D40" s="7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</row>
    <row r="42">
      <c r="A42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Pembaruan Aplikasi</t>
        </is>
      </c>
      <c r="B195" s="17" t="inlineStr">
        <is>
          <t>TC-UP-01</t>
        </is>
      </c>
      <c r="C195" s="20" t="inlineStr">
        <is>
          <t>P2</t>
        </is>
      </c>
      <c r="D195" s="16" t="inlineStr">
        <is>
          <t>Buka pengumuman versi → Unduh Versi Terbaru</t>
        </is>
      </c>
      <c r="E195" s="16" t="inlineStr">
        <is>
          <t>Unduhan mulai di dalam aplikasi, tidak membuka peramban</t>
        </is>
      </c>
      <c r="F195" s="16" t="inlineStr">
        <is>
          <t>F-UP-01, F-UP-02</t>
        </is>
      </c>
      <c r="G195" s="16" t="inlineStr"/>
      <c r="H195" s="16" t="inlineStr"/>
      <c r="I195" s="16" t="inlineStr"/>
    </row>
    <row r="196">
      <c r="A196" s="13" t="inlineStr">
        <is>
          <t>Pembaruan Aplikasi</t>
        </is>
      </c>
      <c r="B196" s="14" t="inlineStr">
        <is>
          <t>TC-UP-02</t>
        </is>
      </c>
      <c r="C196" s="19" t="inlineStr">
        <is>
          <t>P2</t>
        </is>
      </c>
      <c r="D196" s="13" t="inlineStr">
        <is>
          <t>Perhatikan bar notifikasi HP</t>
        </is>
      </c>
      <c r="E196" s="13" t="inlineStr">
        <is>
          <t>Kemajuannya tampil berikut persennya</t>
        </is>
      </c>
      <c r="F196" s="13" t="inlineStr">
        <is>
          <t>F-UP-03</t>
        </is>
      </c>
      <c r="G196" s="13" t="inlineStr"/>
      <c r="H196" s="13" t="inlineStr"/>
      <c r="I196" s="13" t="inlineStr"/>
    </row>
    <row r="197">
      <c r="A197" s="16" t="inlineStr">
        <is>
          <t>Pembaruan Aplikasi</t>
        </is>
      </c>
      <c r="B197" s="17" t="inlineStr">
        <is>
          <t>TC-UP-03</t>
        </is>
      </c>
      <c r="C197" s="20" t="inlineStr">
        <is>
          <t>P2</t>
        </is>
      </c>
      <c r="D197" s="16" t="inlineStr">
        <is>
          <t>Kunci HP saat unduhan berjalan, tunggu, buka lagi</t>
        </is>
      </c>
      <c r="E197" s="16" t="inlineStr">
        <is>
          <t>Unduhannya lanjut, tidak mengulang dari nol</t>
        </is>
      </c>
      <c r="F197" s="16" t="inlineStr">
        <is>
          <t>F-UP-04</t>
        </is>
      </c>
      <c r="G197" s="16" t="inlineStr"/>
      <c r="H197" s="16" t="inlineStr"/>
      <c r="I197" s="16" t="inlineStr"/>
    </row>
    <row r="198">
      <c r="A198" s="13" t="inlineStr">
        <is>
          <t>Pembaruan Aplikasi</t>
        </is>
      </c>
      <c r="B198" s="14" t="inlineStr">
        <is>
          <t>TC-UP-04</t>
        </is>
      </c>
      <c r="C198" s="19" t="inlineStr">
        <is>
          <t>P2</t>
        </is>
      </c>
      <c r="D198" s="13" t="inlineStr">
        <is>
          <t>Tekan tombol unduh lagi saat unduhan berjalan</t>
        </is>
      </c>
      <c r="E198" s="13" t="inlineStr">
        <is>
          <t>Muncul pilihan Batalkan atau Lanjutkan</t>
        </is>
      </c>
      <c r="F198" s="13" t="inlineStr">
        <is>
          <t>F-UP-05, F-IN-18</t>
        </is>
      </c>
      <c r="G198" s="13" t="inlineStr"/>
      <c r="H198" s="13" t="inlineStr"/>
      <c r="I198" s="13" t="inlineStr"/>
    </row>
    <row r="199">
      <c r="A199" s="16" t="inlineStr">
        <is>
          <t>Pembaruan Aplikasi</t>
        </is>
      </c>
      <c r="B199" s="17" t="inlineStr">
        <is>
          <t>TC-UP-05</t>
        </is>
      </c>
      <c r="C199" s="20" t="inlineStr">
        <is>
          <t>P2</t>
        </is>
      </c>
      <c r="D199" s="16" t="inlineStr">
        <is>
          <t>Pilih Batalkan</t>
        </is>
      </c>
      <c r="E199" s="16" t="inlineStr">
        <is>
          <t>Unduhan berhenti; tidak ditampilkan sebagai galat</t>
        </is>
      </c>
      <c r="F199" s="16" t="inlineStr">
        <is>
          <t>F-IN-19</t>
        </is>
      </c>
      <c r="G199" s="16" t="inlineStr"/>
      <c r="H199" s="16" t="inlineStr"/>
      <c r="I199" s="16" t="inlineStr"/>
    </row>
    <row r="200">
      <c r="A200" s="13" t="inlineStr">
        <is>
          <t>Pembaruan Aplikasi</t>
        </is>
      </c>
      <c r="B200" s="14" t="inlineStr">
        <is>
          <t>TC-UP-06</t>
        </is>
      </c>
      <c r="C200" s="19" t="inlineStr">
        <is>
          <t>P2</t>
        </is>
      </c>
      <c r="D200" s="13" t="inlineStr">
        <is>
          <t>Biarkan unduhan selesai</t>
        </is>
      </c>
      <c r="E200" s="13" t="inlineStr">
        <is>
          <t>Notifikasi "ketuk untuk memasang"; pemasang Android terbuka</t>
        </is>
      </c>
      <c r="F200" s="13" t="inlineStr">
        <is>
          <t>F-UP-06, F-IN-17</t>
        </is>
      </c>
      <c r="G200" s="13" t="inlineStr"/>
      <c r="H200" s="13" t="inlineStr"/>
      <c r="I200" s="13" t="inlineStr"/>
    </row>
    <row r="201">
      <c r="A201" s="16" t="inlineStr">
        <is>
          <t>Pembaruan Aplikasi</t>
        </is>
      </c>
      <c r="B201" s="17" t="inlineStr">
        <is>
          <t>TC-UP-07</t>
        </is>
      </c>
      <c r="C201" s="20" t="inlineStr">
        <is>
          <t>P2</t>
        </is>
      </c>
      <c r="D201" s="16" t="inlineStr">
        <is>
          <t>Matikan data seluler di tengah unduhan</t>
        </is>
      </c>
      <c r="E201" s="16" t="inlineStr">
        <is>
          <t>Pesannya menyebut masalah koneksi, satu kalimat, tanpa isi galat mentah</t>
        </is>
      </c>
      <c r="F201" s="16" t="inlineStr">
        <is>
          <t>F-UP-07, F-IN-19</t>
        </is>
      </c>
      <c r="G201" s="16" t="inlineStr"/>
      <c r="H201" s="16" t="inlineStr"/>
      <c r="I201" s="16" t="inlineStr"/>
    </row>
    <row r="202">
      <c r="A202" s="13" t="inlineStr">
        <is>
          <t>Pembaruan Aplikasi</t>
        </is>
      </c>
      <c r="B202" s="14" t="inlineStr">
        <is>
          <t>TC-UP-08</t>
        </is>
      </c>
      <c r="C202" s="21" t="inlineStr">
        <is>
          <t>P3</t>
        </is>
      </c>
      <c r="D202" s="13" t="inlineStr">
        <is>
          <t>Penuhi penyimpanan HP, lalu unduh</t>
        </is>
      </c>
      <c r="E202" s="13" t="inlineStr">
        <is>
          <t>Pesannya menyebut penyimpanan penuh — dibedakan dari masalah koneksi</t>
        </is>
      </c>
      <c r="F202" s="13" t="inlineStr">
        <is>
          <t>F-UP-07</t>
        </is>
      </c>
      <c r="G202" s="13" t="inlineStr"/>
      <c r="H202" s="13" t="inlineStr"/>
      <c r="I202" s="13" t="inlineStr"/>
    </row>
    <row r="203">
      <c r="A203" s="16" t="inlineStr">
        <is>
          <t>Pembaruan Aplikasi</t>
        </is>
      </c>
      <c r="B203" s="17" t="inlineStr">
        <is>
          <t>TC-UP-09</t>
        </is>
      </c>
      <c r="C203" s="22" t="inlineStr">
        <is>
          <t>P3</t>
        </is>
      </c>
      <c r="D203" s="16" t="inlineStr">
        <is>
          <t>Pakai jalur cadangan lewat peramban</t>
        </is>
      </c>
      <c r="E203" s="16" t="inlineStr">
        <is>
          <t>Berkasnya terunduh</t>
        </is>
      </c>
      <c r="F203" s="16" t="inlineStr">
        <is>
          <t>F-IN-06</t>
        </is>
      </c>
      <c r="G203" s="16" t="inlineStr"/>
      <c r="H203" s="16" t="inlineStr"/>
      <c r="I203" s="16" t="inlineStr"/>
    </row>
    <row r="204">
      <c r="A204" s="13" t="inlineStr">
        <is>
          <t>Uji Teknis (lingkup TSD)</t>
        </is>
      </c>
      <c r="B204" s="14" t="inlineStr">
        <is>
          <t>TC-TS-01</t>
        </is>
      </c>
      <c r="C204" s="15" t="inlineStr">
        <is>
          <t>P1</t>
        </is>
      </c>
      <c r="D204" s="13" t="inlineStr">
        <is>
          <t>Panggil GET /rest/v1/orders memakai kunci anon tanpa login</t>
        </is>
      </c>
      <c r="E204" s="13" t="inlineStr">
        <is>
          <t>Tidak mengembalikan pesanan resto mana pun</t>
        </is>
      </c>
      <c r="F204" s="13" t="inlineStr">
        <is>
          <t>TSD §5</t>
        </is>
      </c>
      <c r="G204" s="13" t="inlineStr"/>
      <c r="H204" s="13" t="inlineStr"/>
      <c r="I204" s="13" t="inlineStr"/>
    </row>
    <row r="205">
      <c r="A205" s="16" t="inlineStr">
        <is>
          <t>Uji Teknis (lingkup TSD)</t>
        </is>
      </c>
      <c r="B205" s="17" t="inlineStr">
        <is>
          <t>TC-TS-02</t>
        </is>
      </c>
      <c r="C205" s="18" t="inlineStr">
        <is>
          <t>P1</t>
        </is>
      </c>
      <c r="D205" s="16" t="inlineStr">
        <is>
          <t>Login sebagai karyawan resto A, baca orders resto B lewat API</t>
        </is>
      </c>
      <c r="E205" s="16" t="inlineStr">
        <is>
          <t>Kosong — bukan galat, tapi juga bukan data</t>
        </is>
      </c>
      <c r="F205" s="16" t="inlineStr">
        <is>
          <t>TSD §5</t>
        </is>
      </c>
      <c r="G205" s="16" t="inlineStr"/>
      <c r="H205" s="16" t="inlineStr"/>
      <c r="I205" s="16" t="inlineStr"/>
    </row>
    <row r="206">
      <c r="A206" s="13" t="inlineStr">
        <is>
          <t>Uji Teknis (lingkup TSD)</t>
        </is>
      </c>
      <c r="B206" s="14" t="inlineStr">
        <is>
          <t>TC-TS-03</t>
        </is>
      </c>
      <c r="C206" s="15" t="inlineStr">
        <is>
          <t>P1</t>
        </is>
      </c>
      <c r="D206" s="13" t="inlineStr">
        <is>
          <t>Login sebagai Owner, buka tiap layar resto miliknya</t>
        </is>
      </c>
      <c r="E206" s="13" t="inlineStr">
        <is>
          <t>Tidak ada layar yang kosong karena RLS — owner harus disebut di setiap daftar peran</t>
        </is>
      </c>
      <c r="F206" s="13" t="inlineStr">
        <is>
          <t>TSD §5</t>
        </is>
      </c>
      <c r="G206" s="13" t="inlineStr"/>
      <c r="H206" s="13" t="inlineStr"/>
      <c r="I206" s="13" t="inlineStr"/>
    </row>
    <row r="207">
      <c r="A207" s="16" t="inlineStr">
        <is>
          <t>Uji Teknis (lingkup TSD)</t>
        </is>
      </c>
      <c r="B207" s="17" t="inlineStr">
        <is>
          <t>TC-TS-04</t>
        </is>
      </c>
      <c r="C207" s="18" t="inlineStr">
        <is>
          <t>P1</t>
        </is>
      </c>
      <c r="D207" s="16" t="inlineStr">
        <is>
          <t>Login sebagai Kasir, baca gl_journal_entries</t>
        </is>
      </c>
      <c r="E207" s="16" t="inlineStr">
        <is>
          <t>Hanya yang terkait catatan yang memang boleh dia lihat</t>
        </is>
      </c>
      <c r="F207" s="16" t="inlineStr">
        <is>
          <t>F-KS-13, TSD §5.1</t>
        </is>
      </c>
      <c r="G207" s="16" t="inlineStr"/>
      <c r="H207" s="16" t="inlineStr"/>
      <c r="I207" s="16" t="inlineStr"/>
    </row>
    <row r="208">
      <c r="A208" s="13" t="inlineStr">
        <is>
          <t>Uji Teknis (lingkup TSD)</t>
        </is>
      </c>
      <c r="B208" s="14" t="inlineStr">
        <is>
          <t>TC-TS-05</t>
        </is>
      </c>
      <c r="C208" s="15" t="inlineStr">
        <is>
          <t>P1</t>
        </is>
      </c>
      <c r="D208" s="13" t="inlineStr">
        <is>
          <t>Coba UPDATE products langsung lewat API sebagai pelanggan</t>
        </is>
      </c>
      <c r="E208" s="13" t="inlineStr">
        <is>
          <t>Ditolak; pengurangan stok hanya lewat decrement_stock</t>
        </is>
      </c>
      <c r="F208" s="13" t="inlineStr">
        <is>
          <t>TSD §5.2</t>
        </is>
      </c>
      <c r="G208" s="13" t="inlineStr"/>
      <c r="H208" s="13" t="inlineStr"/>
      <c r="I208" s="13" t="inlineStr"/>
    </row>
    <row r="209">
      <c r="A209" s="16" t="inlineStr">
        <is>
          <t>Uji Teknis (lingkup TSD)</t>
        </is>
      </c>
      <c r="B209" s="17" t="inlineStr">
        <is>
          <t>TC-TS-06</t>
        </is>
      </c>
      <c r="C209" s="18" t="inlineStr">
        <is>
          <t>P1</t>
        </is>
      </c>
      <c r="D209" s="16" t="inlineStr">
        <is>
          <t>Panggil cancel_my_order untuk pesanan milik orang lain</t>
        </is>
      </c>
      <c r="E209" s="16" t="inlineStr">
        <is>
          <t>Ditolak</t>
        </is>
      </c>
      <c r="F209" s="16" t="inlineStr">
        <is>
          <t>TSD §5.2</t>
        </is>
      </c>
      <c r="G209" s="16" t="inlineStr"/>
      <c r="H209" s="16" t="inlineStr"/>
      <c r="I209" s="16" t="inlineStr"/>
    </row>
    <row r="210">
      <c r="A210" s="13" t="inlineStr">
        <is>
          <t>Uji Teknis (lingkup TSD)</t>
        </is>
      </c>
      <c r="B210" s="14" t="inlineStr">
        <is>
          <t>TC-TS-07</t>
        </is>
      </c>
      <c r="C210" s="15" t="inlineStr">
        <is>
          <t>P1</t>
        </is>
      </c>
      <c r="D210" s="13" t="inlineStr">
        <is>
          <t>Jalankan ulang seluruh JALANKAN-INI.sql di database yang sudah terisi</t>
        </is>
      </c>
      <c r="E210" s="13" t="inlineStr">
        <is>
          <t>Selesai tanpa galat; tidak ada data yang berubah</t>
        </is>
      </c>
      <c r="F210" s="13" t="inlineStr">
        <is>
          <t>TSD §11</t>
        </is>
      </c>
      <c r="G210" s="13" t="inlineStr"/>
      <c r="H210" s="13" t="inlineStr"/>
      <c r="I210" s="13" t="inlineStr"/>
    </row>
    <row r="211">
      <c r="A211" s="16" t="inlineStr">
        <is>
          <t>Uji Teknis (lingkup TSD)</t>
        </is>
      </c>
      <c r="B211" s="17" t="inlineStr">
        <is>
          <t>TC-TS-08</t>
        </is>
      </c>
      <c r="C211" s="18" t="inlineStr">
        <is>
          <t>P1</t>
        </is>
      </c>
      <c r="D211" s="16" t="inlineStr">
        <is>
          <t>Jalankan ulang satu berkas SQL lama saja, misal cash_payment_expiry.sql</t>
        </is>
      </c>
      <c r="E211" s="16" t="inlineStr">
        <is>
          <t>Tidak menyempitkan daftar nilai batasan mana pun</t>
        </is>
      </c>
      <c r="F211" s="16" t="inlineStr">
        <is>
          <t>TSD §11.1</t>
        </is>
      </c>
      <c r="G211" s="16" t="inlineStr"/>
      <c r="H211" s="16" t="inlineStr"/>
      <c r="I211" s="16" t="inlineStr"/>
    </row>
    <row r="212">
      <c r="A212" s="13" t="inlineStr">
        <is>
          <t>Uji Teknis (lingkup TSD)</t>
        </is>
      </c>
      <c r="B212" s="14" t="inlineStr">
        <is>
          <t>TC-TS-09</t>
        </is>
      </c>
      <c r="C212" s="15" t="inlineStr">
        <is>
          <t>P1</t>
        </is>
      </c>
      <c r="D212" s="13" t="inlineStr">
        <is>
          <t>Buat resto baru dari Super Admin</t>
        </is>
      </c>
      <c r="E212" s="13" t="inlineStr">
        <is>
          <t>Bagan akun GL 12 jenis dan tarif PPN/service langsung terisi</t>
        </is>
      </c>
      <c r="F212" s="13" t="inlineStr">
        <is>
          <t>A-19, TSD §6.2</t>
        </is>
      </c>
      <c r="G212" s="13" t="inlineStr"/>
      <c r="H212" s="13" t="inlineStr"/>
      <c r="I212" s="13" t="inlineStr"/>
    </row>
    <row r="213">
      <c r="A213" s="16" t="inlineStr">
        <is>
          <t>Uji Teknis (lingkup TSD)</t>
        </is>
      </c>
      <c r="B213" s="17" t="inlineStr">
        <is>
          <t>TC-TS-10</t>
        </is>
      </c>
      <c r="C213" s="18" t="inlineStr">
        <is>
          <t>P1</t>
        </is>
      </c>
      <c r="D213" s="16" t="inlineStr">
        <is>
          <t>Kosongkan satu nomor GL, lalu buat transaksi</t>
        </is>
      </c>
      <c r="E213" s="16" t="inlineStr">
        <is>
          <t>Jurnal untuk baris itu tidak terbentuk — pastikan gejalanya dikenali penguji</t>
        </is>
      </c>
      <c r="F213" s="16" t="inlineStr">
        <is>
          <t>TSD §6.2</t>
        </is>
      </c>
      <c r="G213" s="16" t="inlineStr"/>
      <c r="H213" s="16" t="inlineStr"/>
      <c r="I213" s="16" t="inlineStr"/>
    </row>
    <row r="214">
      <c r="A214" s="13" t="inlineStr">
        <is>
          <t>Uji Teknis (lingkup TSD)</t>
        </is>
      </c>
      <c r="B214" s="14" t="inlineStr">
        <is>
          <t>TC-TS-11</t>
        </is>
      </c>
      <c r="C214" s="19" t="inlineStr">
        <is>
          <t>P2</t>
        </is>
      </c>
      <c r="D214" s="13" t="inlineStr">
        <is>
          <t>Periksa push_outbox sesudah pengumuman terbit</t>
        </is>
      </c>
      <c r="E214" s="13" t="inlineStr">
        <is>
          <t>Baris masuk, lalu sent_at terisi</t>
        </is>
      </c>
      <c r="F214" s="13" t="inlineStr">
        <is>
          <t>TSD §8</t>
        </is>
      </c>
      <c r="G214" s="13" t="inlineStr"/>
      <c r="H214" s="13" t="inlineStr"/>
      <c r="I214" s="13" t="inlineStr"/>
    </row>
    <row r="215">
      <c r="A215" s="16" t="inlineStr">
        <is>
          <t>Uji Teknis (lingkup TSD)</t>
        </is>
      </c>
      <c r="B215" s="17" t="inlineStr">
        <is>
          <t>TC-TS-12</t>
        </is>
      </c>
      <c r="C215" s="20" t="inlineStr">
        <is>
          <t>P2</t>
        </is>
      </c>
      <c r="D215" s="16" t="inlineStr">
        <is>
          <t>Matikan sambungan, pakai aplikasi</t>
        </is>
      </c>
      <c r="E215" s="16" t="inlineStr">
        <is>
          <t>Katalog tetap tampil; pesanan tunai tetap bisa dibuat</t>
        </is>
      </c>
      <c r="F215" s="16" t="inlineStr">
        <is>
          <t>TSD §10, FSD §5.6</t>
        </is>
      </c>
      <c r="G215" s="16" t="inlineStr"/>
      <c r="H215" s="16" t="inlineStr"/>
      <c r="I215" s="16" t="inlineStr"/>
    </row>
    <row r="216">
      <c r="A216" s="13" t="inlineStr">
        <is>
          <t>Uji Teknis (lingkup TSD)</t>
        </is>
      </c>
      <c r="B216" s="14" t="inlineStr">
        <is>
          <t>TC-TS-13</t>
        </is>
      </c>
      <c r="C216" s="19" t="inlineStr">
        <is>
          <t>P2</t>
        </is>
      </c>
      <c r="D216" s="13" t="inlineStr">
        <is>
          <t>Sambungkan lagi</t>
        </is>
      </c>
      <c r="E216" s="13" t="inlineStr">
        <is>
          <t>Pesanan yang dibuat saat luring terkirim</t>
        </is>
      </c>
      <c r="F216" s="13" t="inlineStr">
        <is>
          <t>TSD §10</t>
        </is>
      </c>
      <c r="G216" s="13" t="inlineStr"/>
      <c r="H216" s="13" t="inlineStr"/>
      <c r="I216" s="13" t="inlineStr"/>
    </row>
    <row r="217">
      <c r="A217" s="16" t="inlineStr">
        <is>
          <t>Uji Teknis (lingkup TSD)</t>
        </is>
      </c>
      <c r="B217" s="17" t="inlineStr">
        <is>
          <t>TC-TS-14</t>
        </is>
      </c>
      <c r="C217" s="18" t="inlineStr">
        <is>
          <t>P1</t>
        </is>
      </c>
      <c r="D217" s="16" t="inlineStr">
        <is>
          <t>Coba bayar QRIS saat luring</t>
        </is>
      </c>
      <c r="E217" s="16" t="inlineStr">
        <is>
          <t>Ditolak dengan jelas — bukan menggantung tanpa kabar</t>
        </is>
      </c>
      <c r="F217" s="16" t="inlineStr">
        <is>
          <t>FSD §5.6</t>
        </is>
      </c>
      <c r="G217" s="16" t="inlineStr"/>
      <c r="H217" s="16" t="inlineStr"/>
      <c r="I217" s="16" t="inlineStr"/>
    </row>
    <row r="218">
      <c r="A218" s="13" t="inlineStr">
        <is>
          <t>Uji Teknis (lingkup TSD)</t>
        </is>
      </c>
      <c r="B218" s="14" t="inlineStr">
        <is>
          <t>TC-TS-15</t>
        </is>
      </c>
      <c r="C218" s="15" t="inlineStr">
        <is>
          <t>P1</t>
        </is>
      </c>
      <c r="D218" s="13" t="inlineStr">
        <is>
          <t>Panggil create-qris dengan nominal yang dipalsukan di badan permintaan</t>
        </is>
      </c>
      <c r="E218" s="13" t="inlineStr">
        <is>
          <t>Nominal yang dipakai tetap dari basis data</t>
        </is>
      </c>
      <c r="F218" s="13" t="inlineStr">
        <is>
          <t>TSD §7.1</t>
        </is>
      </c>
      <c r="G218" s="13" t="inlineStr"/>
      <c r="H218" s="13" t="inlineStr"/>
      <c r="I218" s="13" t="inlineStr"/>
    </row>
    <row r="219">
      <c r="A219" s="16" t="inlineStr">
        <is>
          <t>Uji Teknis (lingkup TSD)</t>
        </is>
      </c>
      <c r="B219" s="17" t="inlineStr">
        <is>
          <t>TC-TS-16</t>
        </is>
      </c>
      <c r="C219" s="18" t="inlineStr">
        <is>
          <t>P1</t>
        </is>
      </c>
      <c r="D219" s="16" t="inlineStr">
        <is>
          <t>Tandai pesanan lunas lewat API tanpa lewat webhook</t>
        </is>
      </c>
      <c r="E219" s="16" t="inlineStr">
        <is>
          <t>Ditolak</t>
        </is>
      </c>
      <c r="F219" s="16" t="inlineStr">
        <is>
          <t>F-PG-02, TSD §7.1</t>
        </is>
      </c>
      <c r="G219" s="16" t="inlineStr"/>
      <c r="H219" s="16" t="inlineStr"/>
      <c r="I219" s="16" t="inlineStr"/>
    </row>
    <row r="220">
      <c r="A220" s="13" t="inlineStr">
        <is>
          <t>Uji Teknis (lingkup TSD)</t>
        </is>
      </c>
      <c r="B220" s="14" t="inlineStr">
        <is>
          <t>TC-TS-17</t>
        </is>
      </c>
      <c r="C220" s="19" t="inlineStr">
        <is>
          <t>P2</t>
        </is>
      </c>
      <c r="D220" s="13" t="inlineStr">
        <is>
          <t>Bongkar APK, cari kunci Xendit/FCM/Resend</t>
        </is>
      </c>
      <c r="E220" s="13" t="inlineStr">
        <is>
          <t>Tidak ada satu pun kunci pengirim di dalamnya</t>
        </is>
      </c>
      <c r="F220" s="13" t="inlineStr">
        <is>
          <t>TSD §1.2</t>
        </is>
      </c>
      <c r="G220" s="13" t="inlineStr"/>
      <c r="H220" s="13" t="inlineStr"/>
      <c r="I220" s="13" t="inlineStr"/>
    </row>
    <row r="221">
      <c r="A221" s="16" t="inlineStr">
        <is>
          <t>Uji Teknis (lingkup TSD)</t>
        </is>
      </c>
      <c r="B221" s="17" t="inlineStr">
        <is>
          <t>TC-TS-18</t>
        </is>
      </c>
      <c r="C221" s="20" t="inlineStr">
        <is>
          <t>P2</t>
        </is>
      </c>
      <c r="D221" s="16" t="inlineStr">
        <is>
          <t>Pesanan berpindah status lunas lebih dari sekali</t>
        </is>
      </c>
      <c r="E221" s="16" t="inlineStr">
        <is>
          <t>Jurnalnya tetap satu set — tidak ada baris ganda</t>
        </is>
      </c>
      <c r="F221" s="16" t="inlineStr">
        <is>
          <t>TSD §6.5</t>
        </is>
      </c>
      <c r="G221" s="16" t="inlineStr"/>
      <c r="H221" s="16" t="inlineStr"/>
      <c r="I221" s="16" t="inlineStr"/>
    </row>
    <row r="222">
      <c r="A222" s="13" t="inlineStr">
        <is>
          <t>Uji Teknis (lingkup TSD)</t>
        </is>
      </c>
      <c r="B222" s="14" t="inlineStr">
        <is>
          <t>TC-TS-19</t>
        </is>
      </c>
      <c r="C222" s="19" t="inlineStr">
        <is>
          <t>P2</t>
        </is>
      </c>
      <c r="D222" s="13" t="inlineStr">
        <is>
          <t>Hapus resto uji</t>
        </is>
      </c>
      <c r="E222" s="13" t="inlineStr">
        <is>
          <t>Seluruh isinya ikut terhapus, termasuk jurnalnya</t>
        </is>
      </c>
      <c r="F222" s="13" t="inlineStr">
        <is>
          <t>TSD §4.0</t>
        </is>
      </c>
      <c r="G222" s="13" t="inlineStr"/>
      <c r="H222" s="13" t="inlineStr"/>
      <c r="I222" s="13" t="inlineStr"/>
    </row>
    <row r="223">
      <c r="A223" s="16" t="inlineStr">
        <is>
          <t>Regresi — bug yang pernah terjadi</t>
        </is>
      </c>
      <c r="B223" s="17" t="inlineStr">
        <is>
          <t>TC-RG-01</t>
        </is>
      </c>
      <c r="C223" s="18" t="inlineStr">
        <is>
          <t>P1</t>
        </is>
      </c>
      <c r="D223" s="16" t="inlineStr">
        <is>
          <t>Nominal QRIS kasir memakai subtotal menu, bukan total tagihan</t>
        </is>
      </c>
      <c r="E223" s="16" t="inlineStr">
        <is>
          <t>Nominal di layar QRIS = total termasuk service dan PPN</t>
        </is>
      </c>
      <c r="F223" s="16" t="inlineStr">
        <is>
          <t>F-KS-09</t>
        </is>
      </c>
      <c r="G223" s="16" t="inlineStr"/>
      <c r="H223" s="16" t="inlineStr"/>
      <c r="I223" s="16" t="inlineStr"/>
    </row>
    <row r="224">
      <c r="A224" s="13" t="inlineStr">
        <is>
          <t>Regresi — bug yang pernah terjadi</t>
        </is>
      </c>
      <c r="B224" s="14" t="inlineStr">
        <is>
          <t>TC-RG-02</t>
        </is>
      </c>
      <c r="C224" s="15" t="inlineStr">
        <is>
          <t>P1</t>
        </is>
      </c>
      <c r="D224" s="13" t="inlineStr">
        <is>
          <t>Pesanan dilunasi lewat QRIS hilang dari Riwayat Kasir</t>
        </is>
      </c>
      <c r="E224" s="13" t="inlineStr">
        <is>
          <t>Semua cara bayar masuk Riwayat Kasir</t>
        </is>
      </c>
      <c r="F224" s="13" t="inlineStr">
        <is>
          <t>F-PP-09, A-13</t>
        </is>
      </c>
      <c r="G224" s="13" t="inlineStr"/>
      <c r="H224" s="13" t="inlineStr"/>
      <c r="I224" s="13" t="inlineStr"/>
    </row>
    <row r="225">
      <c r="A225" s="16" t="inlineStr">
        <is>
          <t>Regresi — bug yang pernah terjadi</t>
        </is>
      </c>
      <c r="B225" s="17" t="inlineStr">
        <is>
          <t>TC-RG-03</t>
        </is>
      </c>
      <c r="C225" s="18" t="inlineStr">
        <is>
          <t>P1</t>
        </is>
      </c>
      <c r="D225" s="16" t="inlineStr">
        <is>
          <t>Pesanan dibatalkan tampil "Menunggu Pembayaran" di Pesanan Masuk</t>
        </is>
      </c>
      <c r="E225" s="16" t="inlineStr">
        <is>
          <t>Tidak muncul sama sekali</t>
        </is>
      </c>
      <c r="F225" s="16" t="inlineStr">
        <is>
          <t>A-17</t>
        </is>
      </c>
      <c r="G225" s="16" t="inlineStr"/>
      <c r="H225" s="16" t="inlineStr"/>
      <c r="I225" s="16" t="inlineStr"/>
    </row>
    <row r="226">
      <c r="A226" s="13" t="inlineStr">
        <is>
          <t>Regresi — bug yang pernah terjadi</t>
        </is>
      </c>
      <c r="B226" s="14" t="inlineStr">
        <is>
          <t>TC-RG-04</t>
        </is>
      </c>
      <c r="C226" s="15" t="inlineStr">
        <is>
          <t>P1</t>
        </is>
      </c>
      <c r="D226" s="13" t="inlineStr">
        <is>
          <t>Top up Rp 100.000 tercatat Rp 200.000 di jurnal</t>
        </is>
      </c>
      <c r="E226" s="13" t="inlineStr">
        <is>
          <t>Nominalnya sama dengan yang diajukan</t>
        </is>
      </c>
      <c r="F226" s="13" t="inlineStr">
        <is>
          <t>F-FN-03</t>
        </is>
      </c>
      <c r="G226" s="13" t="inlineStr"/>
      <c r="H226" s="13" t="inlineStr"/>
      <c r="I226" s="13" t="inlineStr"/>
    </row>
    <row r="227">
      <c r="A227" s="16" t="inlineStr">
        <is>
          <t>Regresi — bug yang pernah terjadi</t>
        </is>
      </c>
      <c r="B227" s="17" t="inlineStr">
        <is>
          <t>TC-RG-05</t>
        </is>
      </c>
      <c r="C227" s="18" t="inlineStr">
        <is>
          <t>P1</t>
        </is>
      </c>
      <c r="D227" s="16" t="inlineStr">
        <is>
          <t>Diskon tidak berlaku untuk pesanan mandiri pelanggan</t>
        </is>
      </c>
      <c r="E227" s="16" t="inlineStr">
        <is>
          <t>Berlaku sama di kasir dan HP pelanggan</t>
        </is>
      </c>
      <c r="F227" s="16" t="inlineStr">
        <is>
          <t>A-14</t>
        </is>
      </c>
      <c r="G227" s="16" t="inlineStr"/>
      <c r="H227" s="16" t="inlineStr"/>
      <c r="I227" s="16" t="inlineStr"/>
    </row>
    <row r="228">
      <c r="A228" s="13" t="inlineStr">
        <is>
          <t>Regresi — bug yang pernah terjadi</t>
        </is>
      </c>
      <c r="B228" s="14" t="inlineStr">
        <is>
          <t>TC-RG-06</t>
        </is>
      </c>
      <c r="C228" s="15" t="inlineStr">
        <is>
          <t>P1</t>
        </is>
      </c>
      <c r="D228" s="13" t="inlineStr">
        <is>
          <t>Promo "beli 2" lolos oleh keranjang berisi dua menu berbeda</t>
        </is>
      </c>
      <c r="E228" s="13" t="inlineStr">
        <is>
          <t>Syarat jumlah dihitung per menu, dan seluruhnya harus terpenuhi</t>
        </is>
      </c>
      <c r="F228" s="13" t="inlineStr">
        <is>
          <t>F-DS-10, F-DS-12</t>
        </is>
      </c>
      <c r="G228" s="13" t="inlineStr"/>
      <c r="H228" s="13" t="inlineStr"/>
      <c r="I228" s="13" t="inlineStr"/>
    </row>
    <row r="229">
      <c r="A229" s="16" t="inlineStr">
        <is>
          <t>Regresi — bug yang pernah terjadi</t>
        </is>
      </c>
      <c r="B229" s="17" t="inlineStr">
        <is>
          <t>TC-RG-07</t>
        </is>
      </c>
      <c r="C229" s="20" t="inlineStr">
        <is>
          <t>P2</t>
        </is>
      </c>
      <c r="D229" s="16" t="inlineStr">
        <is>
          <t>Tombol pilih/hapus di kotak masuk tidak bereaksi sama sekali</t>
        </is>
      </c>
      <c r="E229" s="16" t="inlineStr">
        <is>
          <t>Bekerja di kotak masuk karyawan dan pelanggan</t>
        </is>
      </c>
      <c r="F229" s="16" t="inlineStr">
        <is>
          <t>F-IN-15</t>
        </is>
      </c>
      <c r="G229" s="16" t="inlineStr"/>
      <c r="H229" s="16" t="inlineStr"/>
      <c r="I229" s="16" t="inlineStr"/>
    </row>
    <row r="230">
      <c r="A230" s="13" t="inlineStr">
        <is>
          <t>Regresi — bug yang pernah terjadi</t>
        </is>
      </c>
      <c r="B230" s="14" t="inlineStr">
        <is>
          <t>TC-RG-08</t>
        </is>
      </c>
      <c r="C230" s="19" t="inlineStr">
        <is>
          <t>P2</t>
        </is>
      </c>
      <c r="D230" s="13" t="inlineStr">
        <is>
          <t>Layar Diskon dari hub Kasir menyebut "Belum ada produk di resto ini"</t>
        </is>
      </c>
      <c r="E230" s="13" t="inlineStr">
        <is>
          <t>Daftar menu termuat</t>
        </is>
      </c>
      <c r="F230" s="13" t="inlineStr">
        <is>
          <t>F-DS-01</t>
        </is>
      </c>
      <c r="G230" s="13" t="inlineStr"/>
      <c r="H230" s="13" t="inlineStr"/>
      <c r="I230" s="13" t="inlineStr"/>
    </row>
    <row r="231">
      <c r="A231" s="16" t="inlineStr">
        <is>
          <t>Regresi — bug yang pernah terjadi</t>
        </is>
      </c>
      <c r="B231" s="17" t="inlineStr">
        <is>
          <t>TC-RG-09</t>
        </is>
      </c>
      <c r="C231" s="20" t="inlineStr">
        <is>
          <t>P2</t>
        </is>
      </c>
      <c r="D231" s="16" t="inlineStr">
        <is>
          <t>Kasir tidak bisa membuka detail jurnal — terlihat seperti GL belum dipetakan</t>
        </is>
      </c>
      <c r="E231" s="16" t="inlineStr">
        <is>
          <t>Detail jurnal terbuka</t>
        </is>
      </c>
      <c r="F231" s="16" t="inlineStr">
        <is>
          <t>F-KS-13</t>
        </is>
      </c>
      <c r="G231" s="16" t="inlineStr"/>
      <c r="H231" s="16" t="inlineStr"/>
      <c r="I231" s="16" t="inlineStr"/>
    </row>
    <row r="232">
      <c r="A232" s="13" t="inlineStr">
        <is>
          <t>Regresi — bug yang pernah terjadi</t>
        </is>
      </c>
      <c r="B232" s="14" t="inlineStr">
        <is>
          <t>TC-RG-10</t>
        </is>
      </c>
      <c r="C232" s="19" t="inlineStr">
        <is>
          <t>P2</t>
        </is>
      </c>
      <c r="D232" s="13" t="inlineStr">
        <is>
          <t>Layar dapur meninggalkan jejak warna lama saat tema diganti</t>
        </is>
      </c>
      <c r="E232" s="13" t="inlineStr">
        <is>
          <t>Seluruh layar berganti bersih</t>
        </is>
      </c>
      <c r="F232" s="13" t="inlineStr">
        <is>
          <t>A-18</t>
        </is>
      </c>
      <c r="G232" s="13" t="inlineStr"/>
      <c r="H232" s="13" t="inlineStr"/>
      <c r="I232" s="13" t="inlineStr"/>
    </row>
    <row r="233">
      <c r="A233" s="16" t="inlineStr">
        <is>
          <t>Regresi — bug yang pernah terjadi</t>
        </is>
      </c>
      <c r="B233" s="17" t="inlineStr">
        <is>
          <t>TC-RG-11</t>
        </is>
      </c>
      <c r="C233" s="20" t="inlineStr">
        <is>
          <t>P2</t>
        </is>
      </c>
      <c r="D233" s="16" t="inlineStr">
        <is>
          <t>Banner promo menempel di atas, tidak ikut tergulir</t>
        </is>
      </c>
      <c r="E233" s="16" t="inlineStr">
        <is>
          <t>Ikut tergulir bersama menunya</t>
        </is>
      </c>
      <c r="F233" s="16" t="inlineStr">
        <is>
          <t>F-CU-16, A-12</t>
        </is>
      </c>
      <c r="G233" s="16" t="inlineStr"/>
      <c r="H233" s="16" t="inlineStr"/>
      <c r="I233" s="16" t="inlineStr"/>
    </row>
    <row r="234">
      <c r="A234" s="13" t="inlineStr">
        <is>
          <t>Regresi — bug yang pernah terjadi</t>
        </is>
      </c>
      <c r="B234" s="14" t="inlineStr">
        <is>
          <t>TC-RG-12</t>
        </is>
      </c>
      <c r="C234" s="19" t="inlineStr">
        <is>
          <t>P2</t>
        </is>
      </c>
      <c r="D234" s="13" t="inlineStr">
        <is>
          <t>Owner hanya bisa melihat Info Pembayaran</t>
        </is>
      </c>
      <c r="E234" s="13" t="inlineStr">
        <is>
          <t>Owner bisa mengubahnya</t>
        </is>
      </c>
      <c r="F234" s="13" t="inlineStr">
        <is>
          <t>F-SD-02</t>
        </is>
      </c>
      <c r="G234" s="13" t="inlineStr"/>
      <c r="H234" s="13" t="inlineStr"/>
      <c r="I234" s="13" t="inlineStr"/>
    </row>
    <row r="235">
      <c r="A235" s="16" t="inlineStr">
        <is>
          <t>Regresi — bug yang pernah terjadi</t>
        </is>
      </c>
      <c r="B235" s="17" t="inlineStr">
        <is>
          <t>TC-RG-13</t>
        </is>
      </c>
      <c r="C235" s="18" t="inlineStr">
        <is>
          <t>P1</t>
        </is>
      </c>
      <c r="D235" s="16" t="inlineStr">
        <is>
          <t>Migrasi gagal: daftar nilai batasan menyempit saat berkas lama dijalankan ulang</t>
        </is>
      </c>
      <c r="E235" s="16" t="inlineStr">
        <is>
          <t>Menjalankan ulang berkas mana pun tidak pernah menolak data yang sudah ada</t>
        </is>
      </c>
      <c r="F235" s="16" t="inlineStr">
        <is>
          <t>TSD §11.1</t>
        </is>
      </c>
      <c r="G235" s="16" t="inlineStr"/>
      <c r="H235" s="16" t="inlineStr"/>
      <c r="I235" s="16" t="inlineStr"/>
    </row>
    <row r="236">
      <c r="A236" s="13" t="inlineStr">
        <is>
          <t>Regresi — bug yang pernah terjadi</t>
        </is>
      </c>
      <c r="B236" s="14" t="inlineStr">
        <is>
          <t>TC-RG-14</t>
        </is>
      </c>
      <c r="C236" s="19" t="inlineStr">
        <is>
          <t>P2</t>
        </is>
      </c>
      <c r="D236" s="13" t="inlineStr">
        <is>
          <t>QR meja borongan bernomor 07, berbeda dengan mode satu meja</t>
        </is>
      </c>
      <c r="E236" s="13" t="inlineStr">
        <is>
          <t>Keduanya menulis 7</t>
        </is>
      </c>
      <c r="F236" s="13" t="inlineStr">
        <is>
          <t>F-QR-07</t>
        </is>
      </c>
      <c r="G236" s="13" t="inlineStr"/>
      <c r="H236" s="13" t="inlineStr"/>
      <c r="I236" s="13" t="inlineStr"/>
    </row>
    <row r="237">
      <c r="A237" s="16" t="inlineStr">
        <is>
          <t>Uji Ujung-ke-Ujung</t>
        </is>
      </c>
      <c r="B237" s="17" t="inlineStr">
        <is>
          <t>E2E-01</t>
        </is>
      </c>
      <c r="C237" s="18" t="inlineStr">
        <is>
          <t>P1</t>
        </is>
      </c>
      <c r="D237" s="16" t="inlineStr">
        <is>
          <t>Pelanggan bayar QRIS</t>
        </is>
      </c>
      <c r="E23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237" s="16" t="inlineStr">
        <is>
          <t>F-CU-09, F-PG-02, F-CH-06, TSD §6, TSD §7.1</t>
        </is>
      </c>
      <c r="G237" s="16" t="inlineStr"/>
      <c r="H237" s="16" t="inlineStr"/>
      <c r="I237" s="16" t="inlineStr"/>
    </row>
    <row r="238">
      <c r="A238" s="13" t="inlineStr">
        <is>
          <t>Uji Ujung-ke-Ujung</t>
        </is>
      </c>
      <c r="B238" s="14" t="inlineStr">
        <is>
          <t>E2E-02</t>
        </is>
      </c>
      <c r="C238" s="15" t="inlineStr">
        <is>
          <t>P1</t>
        </is>
      </c>
      <c r="D238" s="13" t="inlineStr">
        <is>
          <t>Pelanggan bayar tunai di kasir</t>
        </is>
      </c>
      <c r="E23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238" s="13" t="inlineStr">
        <is>
          <t>F-CU-09, F-PP-01, F-PP-06, F-PP-07, F-CH-06, A-02, A-13</t>
        </is>
      </c>
      <c r="G238" s="13" t="inlineStr"/>
      <c r="H238" s="13" t="inlineStr"/>
      <c r="I238" s="13" t="inlineStr"/>
    </row>
    <row r="239">
      <c r="A239" s="16" t="inlineStr">
        <is>
          <t>Uji Ujung-ke-Ujung</t>
        </is>
      </c>
      <c r="B239" s="17" t="inlineStr">
        <is>
          <t>E2E-03</t>
        </is>
      </c>
      <c r="C239" s="18" t="inlineStr">
        <is>
          <t>P1</t>
        </is>
      </c>
      <c r="D239" s="16" t="inlineStr">
        <is>
          <t>Tunai dengan cara bayar diganti</t>
        </is>
      </c>
      <c r="E239" s="16" t="inlineStr">
        <is>
          <t>1. Ulangi E2E-02, tapi pada langkah 4 ganti cara bayarnya ke QRIS.
2. Pesanannya harus tetap masuk Riwayat Kasir, dan masuk Non Cash
3. di Saldo.</t>
        </is>
      </c>
      <c r="F239" s="16" t="inlineStr">
        <is>
          <t>F-PP-09, A-13, TSD §4.2</t>
        </is>
      </c>
      <c r="G239" s="16" t="inlineStr"/>
      <c r="H239" s="16" t="inlineStr"/>
      <c r="I239" s="16" t="inlineStr"/>
    </row>
    <row r="240">
      <c r="A240" s="13" t="inlineStr">
        <is>
          <t>Uji Ujung-ke-Ujung</t>
        </is>
      </c>
      <c r="B240" s="14" t="inlineStr">
        <is>
          <t>E2E-04</t>
        </is>
      </c>
      <c r="C240" s="15" t="inlineStr">
        <is>
          <t>P1</t>
        </is>
      </c>
      <c r="D240" s="13" t="inlineStr">
        <is>
          <t>Setor tunai ke rekening</t>
        </is>
      </c>
      <c r="E24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240" s="13" t="inlineStr">
        <is>
          <t>F-SD-01, F-SD-05, A-05, TSD §6.4</t>
        </is>
      </c>
      <c r="G240" s="13" t="inlineStr"/>
      <c r="H240" s="13" t="inlineStr"/>
      <c r="I240" s="13" t="inlineStr"/>
    </row>
    <row r="241">
      <c r="A241" s="16" t="inlineStr">
        <is>
          <t>Uji Ujung-ke-Ujung</t>
        </is>
      </c>
      <c r="B241" s="17" t="inlineStr">
        <is>
          <t>E2E-05</t>
        </is>
      </c>
      <c r="C241" s="18" t="inlineStr">
        <is>
          <t>P1</t>
        </is>
      </c>
      <c r="D241" s="16" t="inlineStr">
        <is>
          <t>Top up petty cash</t>
        </is>
      </c>
      <c r="E241" s="16" t="inlineStr">
        <is>
          <t>1. Sama polanya dengan E2E-04, lewat GL Suspense Petty Cash. Top up
2. Rp 100.000 harus menambah Petty Cash Rp 100.000 — bukan Rp 200.000.</t>
        </is>
      </c>
      <c r="F241" s="16" t="inlineStr">
        <is>
          <t>F-FN-03, TSD §6.4</t>
        </is>
      </c>
      <c r="G241" s="16" t="inlineStr"/>
      <c r="H241" s="16" t="inlineStr"/>
      <c r="I241" s="16" t="inlineStr"/>
    </row>
    <row r="242">
      <c r="A242" s="13" t="inlineStr">
        <is>
          <t>Uji Ujung-ke-Ujung</t>
        </is>
      </c>
      <c r="B242" s="14" t="inlineStr">
        <is>
          <t>E2E-06</t>
        </is>
      </c>
      <c r="C242" s="15" t="inlineStr">
        <is>
          <t>P1</t>
        </is>
      </c>
      <c r="D242" s="13" t="inlineStr">
        <is>
          <t>Promo bundling dari HP pelanggan</t>
        </is>
      </c>
      <c r="E24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242" s="13" t="inlineStr">
        <is>
          <t>F-DS-10, F-DS-12, F-CU-17, F-DS-08, F-DS-09, A-14</t>
        </is>
      </c>
      <c r="G242" s="13" t="inlineStr"/>
      <c r="H242" s="13" t="inlineStr"/>
      <c r="I242" s="13" t="inlineStr"/>
    </row>
    <row r="243">
      <c r="A243" s="16" t="inlineStr">
        <is>
          <t>Uji Ujung-ke-Ujung</t>
        </is>
      </c>
      <c r="B243" s="17" t="inlineStr">
        <is>
          <t>E2E-07</t>
        </is>
      </c>
      <c r="C243" s="18" t="inlineStr">
        <is>
          <t>P1</t>
        </is>
      </c>
      <c r="D243" s="16" t="inlineStr">
        <is>
          <t>Pembatalan oleh pelanggan</t>
        </is>
      </c>
      <c r="E24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243" s="16" t="inlineStr">
        <is>
          <t>F-CN-01, A-17</t>
        </is>
      </c>
      <c r="G243" s="16" t="inlineStr"/>
      <c r="H243" s="16" t="inlineStr"/>
      <c r="I243" s="16" t="inlineStr"/>
    </row>
    <row r="244">
      <c r="A244" s="13" t="inlineStr">
        <is>
          <t>Uji Ujung-ke-Ujung</t>
        </is>
      </c>
      <c r="B244" s="14" t="inlineStr">
        <is>
          <t>E2E-08</t>
        </is>
      </c>
      <c r="C244" s="15" t="inlineStr">
        <is>
          <t>P1</t>
        </is>
      </c>
      <c r="D244" s="13" t="inlineStr">
        <is>
          <t>Isolasi antar cabang</t>
        </is>
      </c>
      <c r="E24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244" s="13" t="inlineStr">
        <is>
          <t>F-AD-08, F-IN-10, A-10</t>
        </is>
      </c>
      <c r="G244" s="13" t="inlineStr"/>
      <c r="H244" s="13" t="inlineStr"/>
      <c r="I244" s="13" t="inlineStr"/>
    </row>
  </sheetData>
  <autoFilter ref="A1:I244"/>
  <dataValidations count="1">
    <dataValidation sqref="G2:G24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22" customWidth="1" min="20" max="20"/>
    <col width="14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Simpan tangkapan layarnya di folder defect-capture, lalu tulis nama berkasnya di kolom Capture.</t>
        </is>
      </c>
    </row>
    <row r="2" ht="24" customHeight="1">
      <c r="A2" s="25">
        <f>HYPERLINK("defect-capture", "📎  BUKA FOLDER CAPTURE")</f>
        <v/>
      </c>
      <c r="B2" s="26" t="n"/>
      <c r="C2" s="27" t="n"/>
      <c r="D2" s="28" t="inlineStr">
        <is>
          <t>Seret tangkapan layarnya ke folder itu, beri nama sesuai ID temuan (DF-001.jpg), lalu tulis namanya di kolom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Capture</t>
        </is>
      </c>
      <c r="U4" s="12" t="inlineStr">
        <is>
          <t>Buka Capture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IF(T5="","",HYPERLINK("defect-capture/"&amp;T5,"Buka"))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IF(T6="","",HYPERLINK("defect-capture/"&amp;T6,"Buka"))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IF(T7="","",HYPERLINK("defect-capture/"&amp;T7,"Buka"))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IF(T8="","",HYPERLINK("defect-capture/"&amp;T8,"Buka"))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IF(T9="","",HYPERLINK("defect-capture/"&amp;T9,"Buka"))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IF(T10="","",HYPERLINK("defect-capture/"&amp;T10,"Buka"))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IF(T11="","",HYPERLINK("defect-capture/"&amp;T11,"Buka"))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IF(T12="","",HYPERLINK("defect-capture/"&amp;T12,"Buka"))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IF(T13="","",HYPERLINK("defect-capture/"&amp;T13,"Buka"))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IF(T14="","",HYPERLINK("defect-capture/"&amp;T14,"Buka"))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IF(T15="","",HYPERLINK("defect-capture/"&amp;T15,"Buka"))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IF(T16="","",HYPERLINK("defect-capture/"&amp;T16,"Buka"))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IF(T17="","",HYPERLINK("defect-capture/"&amp;T17,"Buka"))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IF(T18="","",HYPERLINK("defect-capture/"&amp;T18,"Buka"))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IF(T19="","",HYPERLINK("defect-capture/"&amp;T19,"Buka"))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IF(T20="","",HYPERLINK("defect-capture/"&amp;T20,"Buka"))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IF(T21="","",HYPERLINK("defect-capture/"&amp;T21,"Buka"))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IF(T22="","",HYPERLINK("defect-capture/"&amp;T22,"Buka"))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IF(T23="","",HYPERLINK("defect-capture/"&amp;T23,"Buka"))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IF(T24="","",HYPERLINK("defect-capture/"&amp;T24,"Buka"))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IF(T25="","",HYPERLINK("defect-capture/"&amp;T25,"Buka"))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IF(T26="","",HYPERLINK("defect-capture/"&amp;T26,"Buka"))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IF(T27="","",HYPERLINK("defect-capture/"&amp;T27,"Buka"))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IF(T28="","",HYPERLINK("defect-capture/"&amp;T28,"Buka"))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IF(T29="","",HYPERLINK("defect-capture/"&amp;T29,"Buka"))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IF(T30="","",HYPERLINK("defect-capture/"&amp;T30,"Buka"))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IF(T31="","",HYPERLINK("defect-capture/"&amp;T31,"Buka"))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IF(T32="","",HYPERLINK("defect-capture/"&amp;T32,"Buka"))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IF(T33="","",HYPERLINK("defect-capture/"&amp;T33,"Buka"))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IF(T34="","",HYPERLINK("defect-capture/"&amp;T34,"Buka"))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IF(T35="","",HYPERLINK("defect-capture/"&amp;T35,"Buka"))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IF(T36="","",HYPERLINK("defect-capture/"&amp;T36,"Buka"))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IF(T37="","",HYPERLINK("defect-capture/"&amp;T37,"Buka"))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IF(T38="","",HYPERLINK("defect-capture/"&amp;T38,"Buka"))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IF(T39="","",HYPERLINK("defect-capture/"&amp;T39,"Buka"))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IF(T40="","",HYPERLINK("defect-capture/"&amp;T40,"Buka"))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IF(T41="","",HYPERLINK("defect-capture/"&amp;T41,"Buka"))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IF(T42="","",HYPERLINK("defect-capture/"&amp;T42,"Buka"))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IF(T43="","",HYPERLINK("defect-capture/"&amp;T43,"Buka"))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IF(T44="","",HYPERLINK("defect-capture/"&amp;T44,"Buka"))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IF(T45="","",HYPERLINK("defect-capture/"&amp;T45,"Buka"))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IF(T46="","",HYPERLINK("defect-capture/"&amp;T46,"Buka"))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IF(T47="","",HYPERLINK("defect-capture/"&amp;T47,"Buka"))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IF(T48="","",HYPERLINK("defect-capture/"&amp;T48,"Buka"))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IF(T49="","",HYPERLINK("defect-capture/"&amp;T49,"Buka"))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IF(T50="","",HYPERLINK("defect-capture/"&amp;T50,"Buka"))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IF(T51="","",HYPERLINK("defect-capture/"&amp;T51,"Buka"))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IF(T52="","",HYPERLINK("defect-capture/"&amp;T52,"Buka"))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IF(T53="","",HYPERLINK("defect-capture/"&amp;T53,"Buka"))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IF(T54="","",HYPERLINK("defect-capture/"&amp;T54,"Buka"))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IF(T55="","",HYPERLINK("defect-capture/"&amp;T55,"Buka"))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IF(T56="","",HYPERLINK("defect-capture/"&amp;T56,"Buka"))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IF(T57="","",HYPERLINK("defect-capture/"&amp;T57,"Buka"))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IF(T58="","",HYPERLINK("defect-capture/"&amp;T58,"Buka"))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IF(T59="","",HYPERLINK("defect-capture/"&amp;T59,"Buka"))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IF(T60="","",HYPERLINK("defect-capture/"&amp;T60,"Buka"))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IF(T61="","",HYPERLINK("defect-capture/"&amp;T61,"Buka"))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IF(T62="","",HYPERLINK("defect-capture/"&amp;T62,"Buka"))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IF(T63="","",HYPERLINK("defect-capture/"&amp;T63,"Buka"))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IF(T64="","",HYPERLINK("defect-capture/"&amp;T64,"Buka"))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4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31" t="inlineStr">
        <is>
          <t>Tombol unggah capture — kalau memakai Excel desktop</t>
        </is>
      </c>
    </row>
    <row r="2">
      <c r="B2" s="32" t="inlineStr"/>
    </row>
    <row r="3">
      <c r="B3" s="32" t="inlineStr">
        <is>
          <t>Tombol ungu di lembar Defect membuka folder capture, lalu gambarnya diseret ke sana. Itu bekerja di Excel, LibreOffice, maupun Numbers, dan tidak butuh izin apa pun.</t>
        </is>
      </c>
    </row>
    <row r="4">
      <c r="B4" s="32" t="inlineStr"/>
    </row>
    <row r="5">
      <c r="B5" s="32" t="inlineStr">
        <is>
          <t>Kalau ingin tombol yang benar-benar membuka jendela pilih berkas lalu menyalin gambarnya sendiri, itu butuh makro — dan makro hanya hidup di berkas .xlsm. Sekali pasang:</t>
        </is>
      </c>
    </row>
    <row r="6">
      <c r="B6" s="32" t="inlineStr"/>
    </row>
    <row r="7">
      <c r="B7" s="32" t="inlineStr">
        <is>
          <t>1.  Simpan berkas ini sebagai .xlsm  (File - Save As - Excel Macro-Enabled Workbook)</t>
        </is>
      </c>
    </row>
    <row r="8">
      <c r="B8" s="32" t="inlineStr">
        <is>
          <t>2.  Alt+F11, atau Tools - Macro - Visual Basic Editor di Mac</t>
        </is>
      </c>
    </row>
    <row r="9">
      <c r="B9" s="32" t="inlineStr">
        <is>
          <t>3.  Insert - Module, tempel kode di bawah</t>
        </is>
      </c>
    </row>
    <row r="10">
      <c r="B10" s="32" t="inlineStr">
        <is>
          <t>4.  Kembali ke lembar Defect, Developer - Insert - Button, tautkan ke UnggahCapture</t>
        </is>
      </c>
    </row>
    <row r="11">
      <c r="B11" s="32" t="inlineStr"/>
    </row>
    <row r="12">
      <c r="B12" s="31" t="inlineStr">
        <is>
          <t>KODE VBA</t>
        </is>
      </c>
    </row>
    <row r="13">
      <c r="B13" s="32" t="inlineStr"/>
    </row>
    <row r="14">
      <c r="B14" s="33" t="inlineStr">
        <is>
          <t>Sub UnggahCapture()</t>
        </is>
      </c>
    </row>
    <row r="15">
      <c r="B15" s="33" t="inlineStr">
        <is>
          <t xml:space="preserve">    Dim asal As Variant, tujuan As String, folder As String</t>
        </is>
      </c>
    </row>
    <row r="16">
      <c r="B16" s="33" t="inlineStr">
        <is>
          <t xml:space="preserve">    Dim baris As Long, idTemuan As String, ext As String</t>
        </is>
      </c>
    </row>
    <row r="17">
      <c r="B17" s="33" t="inlineStr"/>
    </row>
    <row r="18">
      <c r="B18" s="33" t="inlineStr">
        <is>
          <t xml:space="preserve">    baris = ActiveCell.Row</t>
        </is>
      </c>
    </row>
    <row r="19">
      <c r="B19" s="33" t="inlineStr">
        <is>
          <t xml:space="preserve">    If baris &lt; 5 Then</t>
        </is>
      </c>
    </row>
    <row r="20">
      <c r="B20" s="33" t="inlineStr">
        <is>
          <t xml:space="preserve">        MsgBox "Klik dulu baris temuannya."</t>
        </is>
      </c>
    </row>
    <row r="21">
      <c r="B21" s="33" t="inlineStr">
        <is>
          <t xml:space="preserve">        Exit Sub</t>
        </is>
      </c>
    </row>
    <row r="22">
      <c r="B22" s="33" t="inlineStr">
        <is>
          <t xml:space="preserve">    End If</t>
        </is>
      </c>
    </row>
    <row r="23">
      <c r="B23" s="33" t="inlineStr"/>
    </row>
    <row r="24">
      <c r="B24" s="33" t="inlineStr">
        <is>
          <t xml:space="preserve">    idTemuan = Trim(Cells(baris, 1).Value)</t>
        </is>
      </c>
    </row>
    <row r="25">
      <c r="B25" s="33" t="inlineStr">
        <is>
          <t xml:space="preserve">    If idTemuan = "" Then</t>
        </is>
      </c>
    </row>
    <row r="26">
      <c r="B26" s="33" t="inlineStr">
        <is>
          <t xml:space="preserve">        MsgBox "Isi dulu ID temuannya di kolom A."</t>
        </is>
      </c>
    </row>
    <row r="27">
      <c r="B27" s="33" t="inlineStr">
        <is>
          <t xml:space="preserve">        Exit Sub</t>
        </is>
      </c>
    </row>
    <row r="28">
      <c r="B28" s="33" t="inlineStr">
        <is>
          <t xml:space="preserve">    End If</t>
        </is>
      </c>
    </row>
    <row r="29">
      <c r="B29" s="33" t="inlineStr"/>
    </row>
    <row r="30">
      <c r="B30" s="33" t="inlineStr">
        <is>
          <t xml:space="preserve">    asal = Application.GetOpenFilename( _</t>
        </is>
      </c>
    </row>
    <row r="31">
      <c r="B31" s="33" t="inlineStr">
        <is>
          <t xml:space="preserve">        "Gambar (*.jpg;*.jpeg;*.png),*.jpg;*.jpeg;*.png", , _</t>
        </is>
      </c>
    </row>
    <row r="32">
      <c r="B32" s="33" t="inlineStr">
        <is>
          <t xml:space="preserve">        "Pilih tangkapan layar untuk " &amp; idTemuan)</t>
        </is>
      </c>
    </row>
    <row r="33">
      <c r="B33" s="33" t="inlineStr">
        <is>
          <t xml:space="preserve">    If asal = False Then Exit Sub</t>
        </is>
      </c>
    </row>
    <row r="34">
      <c r="B34" s="33" t="inlineStr"/>
    </row>
    <row r="35">
      <c r="B35" s="33" t="inlineStr">
        <is>
          <t xml:space="preserve">    folder = ThisWorkbook.Path &amp; Application.PathSeparator &amp; "defect-capture"</t>
        </is>
      </c>
    </row>
    <row r="36">
      <c r="B36" s="33" t="inlineStr">
        <is>
          <t xml:space="preserve">    If Dir(folder, vbDirectory) = "" Then MkDir folder</t>
        </is>
      </c>
    </row>
    <row r="37">
      <c r="B37" s="33" t="inlineStr"/>
    </row>
    <row r="38">
      <c r="B38" s="33" t="inlineStr">
        <is>
          <t xml:space="preserve">    ext = Mid(asal, InStrRev(asal, "."))</t>
        </is>
      </c>
    </row>
    <row r="39">
      <c r="B39" s="33" t="inlineStr">
        <is>
          <t xml:space="preserve">    tujuan = folder &amp; Application.PathSeparator &amp; idTemuan &amp; ext</t>
        </is>
      </c>
    </row>
    <row r="40">
      <c r="B40" s="33" t="inlineStr"/>
    </row>
    <row r="41">
      <c r="B41" s="33" t="inlineStr">
        <is>
          <t xml:space="preserve">    FileCopy CStr(asal), tujuan</t>
        </is>
      </c>
    </row>
    <row r="42">
      <c r="B42" s="33" t="inlineStr">
        <is>
          <t xml:space="preserve">    Cells(baris, 20).Value = idTemuan &amp; ext</t>
        </is>
      </c>
    </row>
    <row r="43">
      <c r="B43" s="33" t="inlineStr">
        <is>
          <t xml:space="preserve">    MsgBox "Tersimpan: " &amp; idTemuan &amp; ext</t>
        </is>
      </c>
    </row>
    <row r="44">
      <c r="B44" s="33" t="inlineStr">
        <is>
          <t>End Sub</t>
        </is>
      </c>
    </row>
    <row r="46">
      <c r="B46" s="34" t="inlineStr">
        <is>
          <t>Angka 20 di baris Cells(baris, 20) adalah kolom Capture. Kalau urutan kolom di lembar Defect diubah, angka itu harus ikut diubah — makronya tidak akan mengeluh, ia hanya menulis ke kolom yang salah.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2026-08-17T00:27:59Z</dcterms:created>
  <dcterms:modified xmlns:dcterms="http://purl.org/dc/terms/" xmlns:xsi="http://www.w3.org/2001/XMLSchema-instance" xsi:type="dcterms:W3CDTF">2026-08-17T00:28:00Z</dcterms:modified>
</cp:coreProperties>
</file>