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Uji'!$A$1:$I$355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Uji'!C2:C355,"P1")</f>
        <v/>
      </c>
      <c r="C5" s="5">
        <f>COUNTIFS('Kasus Uji'!C2:C355,"P1",'Kasus Uji'!G2:G355,"Lulus")</f>
        <v/>
      </c>
      <c r="D5" s="5">
        <f>COUNTIFS('Kasus Uji'!C2:C355,"P1",'Kasus Uji'!G2:G355,"Gagal")</f>
        <v/>
      </c>
      <c r="E5" s="5">
        <f>COUNTIFS('Kasus Uji'!C2:C355,"P1",'Kasus Uji'!G2:G355,"Terblokir")</f>
        <v/>
      </c>
      <c r="F5" s="5">
        <f>COUNTIFS('Kasus Uji'!C2:C355,"P1",'Kasus Uji'!G2:G355,"Dilewati")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Uji'!C2:C355,"P2")</f>
        <v/>
      </c>
      <c r="C6" s="5">
        <f>COUNTIFS('Kasus Uji'!C2:C355,"P2",'Kasus Uji'!G2:G355,"Lulus")</f>
        <v/>
      </c>
      <c r="D6" s="5">
        <f>COUNTIFS('Kasus Uji'!C2:C355,"P2",'Kasus Uji'!G2:G355,"Gagal")</f>
        <v/>
      </c>
      <c r="E6" s="5">
        <f>COUNTIFS('Kasus Uji'!C2:C355,"P2",'Kasus Uji'!G2:G355,"Terblokir")</f>
        <v/>
      </c>
      <c r="F6" s="5">
        <f>COUNTIFS('Kasus Uji'!C2:C355,"P2",'Kasus Uji'!G2:G355,"Dilewati")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Uji'!C2:C355,"P3")</f>
        <v/>
      </c>
      <c r="C7" s="5">
        <f>COUNTIFS('Kasus Uji'!C2:C355,"P3",'Kasus Uji'!G2:G355,"Lulus")</f>
        <v/>
      </c>
      <c r="D7" s="5">
        <f>COUNTIFS('Kasus Uji'!C2:C355,"P3",'Kasus Uji'!G2:G355,"Gagal")</f>
        <v/>
      </c>
      <c r="E7" s="5">
        <f>COUNTIFS('Kasus Uji'!C2:C355,"P3",'Kasus Uji'!G2:G355,"Terblokir")</f>
        <v/>
      </c>
      <c r="F7" s="5">
        <f>COUNTIFS('Kasus Uji'!C2:C355,"P3",'Kasus Uji'!G2:G355,"Dilewati")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Uji'!A2:A355,"Pelanggan")</f>
        <v/>
      </c>
      <c r="C12" s="5">
        <f>COUNTIFS('Kasus Uji'!A2:A355,"Pelanggan",'Kasus Uji'!G2:G355,"Lulus")</f>
        <v/>
      </c>
      <c r="D12" s="5">
        <f>COUNTIFS('Kasus Uji'!A2:A355,"Pelanggan",'Kasus Uji'!G2:G355,"Gagal")</f>
        <v/>
      </c>
      <c r="E12" s="5">
        <f>COUNTIFS('Kasus Uji'!A2:A355,"Pelanggan",'Kasus Uji'!G2:G355,"Terblokir")</f>
        <v/>
      </c>
      <c r="F12" s="5">
        <f>COUNTIFS('Kasus Uji'!A2:A355,"Pelanggan",'Kasus Uji'!G2:G355,"Dilewati")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Uji'!A2:A355,"Kasir")</f>
        <v/>
      </c>
      <c r="C13" s="5">
        <f>COUNTIFS('Kasus Uji'!A2:A355,"Kasir",'Kasus Uji'!G2:G355,"Lulus")</f>
        <v/>
      </c>
      <c r="D13" s="5">
        <f>COUNTIFS('Kasus Uji'!A2:A355,"Kasir",'Kasus Uji'!G2:G355,"Gagal")</f>
        <v/>
      </c>
      <c r="E13" s="5">
        <f>COUNTIFS('Kasus Uji'!A2:A355,"Kasir",'Kasus Uji'!G2:G355,"Terblokir")</f>
        <v/>
      </c>
      <c r="F13" s="5">
        <f>COUNTIFS('Kasus Uji'!A2:A355,"Kasir",'Kasus Uji'!G2:G355,"Dilewati")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Uji'!A2:A355,"Pending Payment")</f>
        <v/>
      </c>
      <c r="C14" s="5">
        <f>COUNTIFS('Kasus Uji'!A2:A355,"Pending Payment",'Kasus Uji'!G2:G355,"Lulus")</f>
        <v/>
      </c>
      <c r="D14" s="5">
        <f>COUNTIFS('Kasus Uji'!A2:A355,"Pending Payment",'Kasus Uji'!G2:G355,"Gagal")</f>
        <v/>
      </c>
      <c r="E14" s="5">
        <f>COUNTIFS('Kasus Uji'!A2:A355,"Pending Payment",'Kasus Uji'!G2:G355,"Terblokir")</f>
        <v/>
      </c>
      <c r="F14" s="5">
        <f>COUNTIFS('Kasus Uji'!A2:A355,"Pending Payment",'Kasus Uji'!G2:G355,"Dilewati")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Uji'!A2:A355,"Dapur")</f>
        <v/>
      </c>
      <c r="C15" s="5">
        <f>COUNTIFS('Kasus Uji'!A2:A355,"Dapur",'Kasus Uji'!G2:G355,"Lulus")</f>
        <v/>
      </c>
      <c r="D15" s="5">
        <f>COUNTIFS('Kasus Uji'!A2:A355,"Dapur",'Kasus Uji'!G2:G355,"Gagal")</f>
        <v/>
      </c>
      <c r="E15" s="5">
        <f>COUNTIFS('Kasus Uji'!A2:A355,"Dapur",'Kasus Uji'!G2:G355,"Terblokir")</f>
        <v/>
      </c>
      <c r="F15" s="5">
        <f>COUNTIFS('Kasus Uji'!A2:A355,"Dapur",'Kasus Uji'!G2:G355,"Dilewati")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Uji'!A2:A355,"Keuangan")</f>
        <v/>
      </c>
      <c r="C16" s="5">
        <f>COUNTIFS('Kasus Uji'!A2:A355,"Keuangan",'Kasus Uji'!G2:G355,"Lulus")</f>
        <v/>
      </c>
      <c r="D16" s="5">
        <f>COUNTIFS('Kasus Uji'!A2:A355,"Keuangan",'Kasus Uji'!G2:G355,"Gagal")</f>
        <v/>
      </c>
      <c r="E16" s="5">
        <f>COUNTIFS('Kasus Uji'!A2:A355,"Keuangan",'Kasus Uji'!G2:G355,"Terblokir")</f>
        <v/>
      </c>
      <c r="F16" s="5">
        <f>COUNTIFS('Kasus Uji'!A2:A355,"Keuangan",'Kasus Uji'!G2:G355,"Dilewati")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Uji'!A2:A355,"Setor Saldo Cash")</f>
        <v/>
      </c>
      <c r="C17" s="5">
        <f>COUNTIFS('Kasus Uji'!A2:A355,"Setor Saldo Cash",'Kasus Uji'!G2:G355,"Lulus")</f>
        <v/>
      </c>
      <c r="D17" s="5">
        <f>COUNTIFS('Kasus Uji'!A2:A355,"Setor Saldo Cash",'Kasus Uji'!G2:G355,"Gagal")</f>
        <v/>
      </c>
      <c r="E17" s="5">
        <f>COUNTIFS('Kasus Uji'!A2:A355,"Setor Saldo Cash",'Kasus Uji'!G2:G355,"Terblokir")</f>
        <v/>
      </c>
      <c r="F17" s="5">
        <f>COUNTIFS('Kasus Uji'!A2:A355,"Setor Saldo Cash",'Kasus Uji'!G2:G355,"Dilewati")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Uji'!A2:A355,"Katalog &amp; Pengaturan")</f>
        <v/>
      </c>
      <c r="C18" s="5">
        <f>COUNTIFS('Kasus Uji'!A2:A355,"Katalog &amp; Pengaturan",'Kasus Uji'!G2:G355,"Lulus")</f>
        <v/>
      </c>
      <c r="D18" s="5">
        <f>COUNTIFS('Kasus Uji'!A2:A355,"Katalog &amp; Pengaturan",'Kasus Uji'!G2:G355,"Gagal")</f>
        <v/>
      </c>
      <c r="E18" s="5">
        <f>COUNTIFS('Kasus Uji'!A2:A355,"Katalog &amp; Pengaturan",'Kasus Uji'!G2:G355,"Terblokir")</f>
        <v/>
      </c>
      <c r="F18" s="5">
        <f>COUNTIFS('Kasus Uji'!A2:A355,"Katalog &amp; Pengaturan",'Kasus Uji'!G2:G355,"Dilewati")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Uji'!A2:A355,"QR Meja")</f>
        <v/>
      </c>
      <c r="C19" s="5">
        <f>COUNTIFS('Kasus Uji'!A2:A355,"QR Meja",'Kasus Uji'!G2:G355,"Lulus")</f>
        <v/>
      </c>
      <c r="D19" s="5">
        <f>COUNTIFS('Kasus Uji'!A2:A355,"QR Meja",'Kasus Uji'!G2:G355,"Gagal")</f>
        <v/>
      </c>
      <c r="E19" s="5">
        <f>COUNTIFS('Kasus Uji'!A2:A355,"QR Meja",'Kasus Uji'!G2:G355,"Terblokir")</f>
        <v/>
      </c>
      <c r="F19" s="5">
        <f>COUNTIFS('Kasus Uji'!A2:A355,"QR Meja",'Kasus Uji'!G2:G355,"Dilewati")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Uji'!A2:A355,"Diskon")</f>
        <v/>
      </c>
      <c r="C20" s="5">
        <f>COUNTIFS('Kasus Uji'!A2:A355,"Diskon",'Kasus Uji'!G2:G355,"Lulus")</f>
        <v/>
      </c>
      <c r="D20" s="5">
        <f>COUNTIFS('Kasus Uji'!A2:A355,"Diskon",'Kasus Uji'!G2:G355,"Gagal")</f>
        <v/>
      </c>
      <c r="E20" s="5">
        <f>COUNTIFS('Kasus Uji'!A2:A355,"Diskon",'Kasus Uji'!G2:G355,"Terblokir")</f>
        <v/>
      </c>
      <c r="F20" s="5">
        <f>COUNTIFS('Kasus Uji'!A2:A355,"Diskon",'Kasus Uji'!G2:G355,"Dilewati")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Uji'!A2:A355,"Kotak Masuk &amp; Pengumuman")</f>
        <v/>
      </c>
      <c r="C21" s="5">
        <f>COUNTIFS('Kasus Uji'!A2:A355,"Kotak Masuk &amp; Pengumuman",'Kasus Uji'!G2:G355,"Lulus")</f>
        <v/>
      </c>
      <c r="D21" s="5">
        <f>COUNTIFS('Kasus Uji'!A2:A355,"Kotak Masuk &amp; Pengumuman",'Kasus Uji'!G2:G355,"Gagal")</f>
        <v/>
      </c>
      <c r="E21" s="5">
        <f>COUNTIFS('Kasus Uji'!A2:A355,"Kotak Masuk &amp; Pengumuman",'Kasus Uji'!G2:G355,"Terblokir")</f>
        <v/>
      </c>
      <c r="F21" s="5">
        <f>COUNTIFS('Kasus Uji'!A2:A355,"Kotak Masuk &amp; Pengumuman",'Kasus Uji'!G2:G355,"Dilewati")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Uji'!A2:A355,"Pembayaran QRIS")</f>
        <v/>
      </c>
      <c r="C22" s="5">
        <f>COUNTIFS('Kasus Uji'!A2:A355,"Pembayaran QRIS",'Kasus Uji'!G2:G355,"Lulus")</f>
        <v/>
      </c>
      <c r="D22" s="5">
        <f>COUNTIFS('Kasus Uji'!A2:A355,"Pembayaran QRIS",'Kasus Uji'!G2:G355,"Gagal")</f>
        <v/>
      </c>
      <c r="E22" s="5">
        <f>COUNTIFS('Kasus Uji'!A2:A355,"Pembayaran QRIS",'Kasus Uji'!G2:G355,"Terblokir")</f>
        <v/>
      </c>
      <c r="F22" s="5">
        <f>COUNTIFS('Kasus Uji'!A2:A355,"Pembayaran QRIS",'Kasus Uji'!G2:G355,"Dilewati")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Uji'!A2:A355,"Pembatalan &amp; Kedaluwarsa")</f>
        <v/>
      </c>
      <c r="C23" s="5">
        <f>COUNTIFS('Kasus Uji'!A2:A355,"Pembatalan &amp; Kedaluwarsa",'Kasus Uji'!G2:G355,"Lulus")</f>
        <v/>
      </c>
      <c r="D23" s="5">
        <f>COUNTIFS('Kasus Uji'!A2:A355,"Pembatalan &amp; Kedaluwarsa",'Kasus Uji'!G2:G355,"Gagal")</f>
        <v/>
      </c>
      <c r="E23" s="5">
        <f>COUNTIFS('Kasus Uji'!A2:A355,"Pembatalan &amp; Kedaluwarsa",'Kasus Uji'!G2:G355,"Terblokir")</f>
        <v/>
      </c>
      <c r="F23" s="5">
        <f>COUNTIFS('Kasus Uji'!A2:A355,"Pembatalan &amp; Kedaluwarsa",'Kasus Uji'!G2:G355,"Dilewati")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Uji'!A2:A355,"Sesi Meja &amp; Identitas")</f>
        <v/>
      </c>
      <c r="C24" s="5">
        <f>COUNTIFS('Kasus Uji'!A2:A355,"Sesi Meja &amp; Identitas",'Kasus Uji'!G2:G355,"Lulus")</f>
        <v/>
      </c>
      <c r="D24" s="5">
        <f>COUNTIFS('Kasus Uji'!A2:A355,"Sesi Meja &amp; Identitas",'Kasus Uji'!G2:G355,"Gagal")</f>
        <v/>
      </c>
      <c r="E24" s="5">
        <f>COUNTIFS('Kasus Uji'!A2:A355,"Sesi Meja &amp; Identitas",'Kasus Uji'!G2:G355,"Terblokir")</f>
        <v/>
      </c>
      <c r="F24" s="5">
        <f>COUNTIFS('Kasus Uji'!A2:A355,"Sesi Meja &amp; Identitas",'Kasus Uji'!G2:G355,"Dilewati")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Uji'!A2:A355,"Tampilan")</f>
        <v/>
      </c>
      <c r="C25" s="5">
        <f>COUNTIFS('Kasus Uji'!A2:A355,"Tampilan",'Kasus Uji'!G2:G355,"Lulus")</f>
        <v/>
      </c>
      <c r="D25" s="5">
        <f>COUNTIFS('Kasus Uji'!A2:A355,"Tampilan",'Kasus Uji'!G2:G355,"Gagal")</f>
        <v/>
      </c>
      <c r="E25" s="5">
        <f>COUNTIFS('Kasus Uji'!A2:A355,"Tampilan",'Kasus Uji'!G2:G355,"Terblokir")</f>
        <v/>
      </c>
      <c r="F25" s="5">
        <f>COUNTIFS('Kasus Uji'!A2:A355,"Tampilan",'Kasus Uji'!G2:G355,"Dilewati")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Uji'!A2:A355,"Super Admin")</f>
        <v/>
      </c>
      <c r="C26" s="5">
        <f>COUNTIFS('Kasus Uji'!A2:A355,"Super Admin",'Kasus Uji'!G2:G355,"Lulus")</f>
        <v/>
      </c>
      <c r="D26" s="5">
        <f>COUNTIFS('Kasus Uji'!A2:A355,"Super Admin",'Kasus Uji'!G2:G355,"Gagal")</f>
        <v/>
      </c>
      <c r="E26" s="5">
        <f>COUNTIFS('Kasus Uji'!A2:A355,"Super Admin",'Kasus Uji'!G2:G355,"Terblokir")</f>
        <v/>
      </c>
      <c r="F26" s="5">
        <f>COUNTIFS('Kasus Uji'!A2:A355,"Super Admin",'Kasus Uji'!G2:G355,"Dilewati")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Uji'!A2:A355,"Pembaruan Aplikasi")</f>
        <v/>
      </c>
      <c r="C27" s="5">
        <f>COUNTIFS('Kasus Uji'!A2:A355,"Pembaruan Aplikasi",'Kasus Uji'!G2:G355,"Lulus")</f>
        <v/>
      </c>
      <c r="D27" s="5">
        <f>COUNTIFS('Kasus Uji'!A2:A355,"Pembaruan Aplikasi",'Kasus Uji'!G2:G355,"Gagal")</f>
        <v/>
      </c>
      <c r="E27" s="5">
        <f>COUNTIFS('Kasus Uji'!A2:A355,"Pembaruan Aplikasi",'Kasus Uji'!G2:G355,"Terblokir")</f>
        <v/>
      </c>
      <c r="F27" s="5">
        <f>COUNTIFS('Kasus Uji'!A2:A355,"Pembaruan Aplikasi",'Kasus Uji'!G2:G355,"Dilewati")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Uji'!A2:A355,"## 19b. Langganan &amp; Tagihan Resto")</f>
        <v/>
      </c>
      <c r="C28" s="5">
        <f>COUNTIFS('Kasus Uji'!A2:A355,"## 19b. Langganan &amp; Tagihan Resto",'Kasus Uji'!G2:G355,"Lulus")</f>
        <v/>
      </c>
      <c r="D28" s="5">
        <f>COUNTIFS('Kasus Uji'!A2:A355,"## 19b. Langganan &amp; Tagihan Resto",'Kasus Uji'!G2:G355,"Gagal")</f>
        <v/>
      </c>
      <c r="E28" s="5">
        <f>COUNTIFS('Kasus Uji'!A2:A355,"## 19b. Langganan &amp; Tagihan Resto",'Kasus Uji'!G2:G355,"Terblokir")</f>
        <v/>
      </c>
      <c r="F28" s="5">
        <f>COUNTIFS('Kasus Uji'!A2:A355,"## 19b. Langganan &amp; Tagihan Resto",'Kasus Uji'!G2:G355,"Dilewati")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Uji'!A2:A355,"## 19c. Finance KaataGo (Super Admin)")</f>
        <v/>
      </c>
      <c r="C29" s="5">
        <f>COUNTIFS('Kasus Uji'!A2:A355,"## 19c. Finance KaataGo (Super Admin)",'Kasus Uji'!G2:G355,"Lulus")</f>
        <v/>
      </c>
      <c r="D29" s="5">
        <f>COUNTIFS('Kasus Uji'!A2:A355,"## 19c. Finance KaataGo (Super Admin)",'Kasus Uji'!G2:G355,"Gagal")</f>
        <v/>
      </c>
      <c r="E29" s="5">
        <f>COUNTIFS('Kasus Uji'!A2:A355,"## 19c. Finance KaataGo (Super Admin)",'Kasus Uji'!G2:G355,"Terblokir")</f>
        <v/>
      </c>
      <c r="F29" s="5">
        <f>COUNTIFS('Kasus Uji'!A2:A355,"## 19c. Finance KaataGo (Super Admin)",'Kasus Uji'!G2:G355,"Dilewati")</f>
        <v/>
      </c>
      <c r="G29" s="5">
        <f>B29-SUM(C29:F29)</f>
        <v/>
      </c>
    </row>
    <row r="30">
      <c r="A30" s="4" t="inlineStr">
        <is>
          <t>Uji Teknis (lingkup TSD)</t>
        </is>
      </c>
      <c r="B30" s="5">
        <f>COUNTIF('Kasus Uji'!A2:A355,"Uji Teknis (lingkup TSD)")</f>
        <v/>
      </c>
      <c r="C30" s="5">
        <f>COUNTIFS('Kasus Uji'!A2:A355,"Uji Teknis (lingkup TSD)",'Kasus Uji'!G2:G355,"Lulus")</f>
        <v/>
      </c>
      <c r="D30" s="5">
        <f>COUNTIFS('Kasus Uji'!A2:A355,"Uji Teknis (lingkup TSD)",'Kasus Uji'!G2:G355,"Gagal")</f>
        <v/>
      </c>
      <c r="E30" s="5">
        <f>COUNTIFS('Kasus Uji'!A2:A355,"Uji Teknis (lingkup TSD)",'Kasus Uji'!G2:G355,"Terblokir")</f>
        <v/>
      </c>
      <c r="F30" s="5">
        <f>COUNTIFS('Kasus Uji'!A2:A355,"Uji Teknis (lingkup TSD)",'Kasus Uji'!G2:G355,"Dilewati")</f>
        <v/>
      </c>
      <c r="G30" s="5">
        <f>B30-SUM(C30:F30)</f>
        <v/>
      </c>
    </row>
    <row r="31">
      <c r="A31" s="4" t="inlineStr">
        <is>
          <t>Regresi — bug yang pernah terjadi</t>
        </is>
      </c>
      <c r="B31" s="5">
        <f>COUNTIF('Kasus Uji'!A2:A355,"Regresi — bug yang pernah terjadi")</f>
        <v/>
      </c>
      <c r="C31" s="5">
        <f>COUNTIFS('Kasus Uji'!A2:A355,"Regresi — bug yang pernah terjadi",'Kasus Uji'!G2:G355,"Lulus")</f>
        <v/>
      </c>
      <c r="D31" s="5">
        <f>COUNTIFS('Kasus Uji'!A2:A355,"Regresi — bug yang pernah terjadi",'Kasus Uji'!G2:G355,"Gagal")</f>
        <v/>
      </c>
      <c r="E31" s="5">
        <f>COUNTIFS('Kasus Uji'!A2:A355,"Regresi — bug yang pernah terjadi",'Kasus Uji'!G2:G355,"Terblokir")</f>
        <v/>
      </c>
      <c r="F31" s="5">
        <f>COUNTIFS('Kasus Uji'!A2:A355,"Regresi — bug yang pernah terjadi",'Kasus Uji'!G2:G355,"Dilewati")</f>
        <v/>
      </c>
      <c r="G31" s="5">
        <f>B31-SUM(C31:F31)</f>
        <v/>
      </c>
    </row>
    <row r="32">
      <c r="A32" s="4" t="inlineStr">
        <is>
          <t>Uji Ujung-ke-Ujung</t>
        </is>
      </c>
      <c r="B32" s="5">
        <f>COUNTIF('Kasus Uji'!A2:A355,"Uji Ujung-ke-Ujung")</f>
        <v/>
      </c>
      <c r="C32" s="5">
        <f>COUNTIFS('Kasus Uji'!A2:A355,"Uji Ujung-ke-Ujung",'Kasus Uji'!G2:G355,"Lulus")</f>
        <v/>
      </c>
      <c r="D32" s="5">
        <f>COUNTIFS('Kasus Uji'!A2:A355,"Uji Ujung-ke-Ujung",'Kasus Uji'!G2:G355,"Gagal")</f>
        <v/>
      </c>
      <c r="E32" s="5">
        <f>COUNTIFS('Kasus Uji'!A2:A355,"Uji Ujung-ke-Ujung",'Kasus Uji'!G2:G355,"Terblokir")</f>
        <v/>
      </c>
      <c r="F32" s="5">
        <f>COUNTIFS('Kasus Uji'!A2:A355,"Uji Ujung-ke-Ujung",'Kasus Uji'!G2:G355,"Dilewati")</f>
        <v/>
      </c>
      <c r="G32" s="5">
        <f>B32-SUM(C32:F32)</f>
        <v/>
      </c>
    </row>
    <row r="34">
      <c r="A34" s="9" t="inlineStr">
        <is>
          <t>Rilis ditahan selama masih ada P1 yang Gagal.</t>
        </is>
      </c>
    </row>
    <row r="36">
      <c r="A36" s="10" t="inlineStr">
        <is>
          <t>Temuan</t>
        </is>
      </c>
    </row>
    <row r="37">
      <c r="A37" s="11" t="inlineStr">
        <is>
          <t>Severity</t>
        </is>
      </c>
      <c r="B37" s="3" t="inlineStr">
        <is>
          <t>Jumlah</t>
        </is>
      </c>
      <c r="C37" s="3" t="inlineStr">
        <is>
          <t>Baru</t>
        </is>
      </c>
      <c r="D37" s="3" t="inlineStr">
        <is>
          <t>Dikonfirmasi</t>
        </is>
      </c>
      <c r="E37" s="3" t="inlineStr">
        <is>
          <t>Sedang diperbaiki</t>
        </is>
      </c>
      <c r="F37" s="3" t="inlineStr">
        <is>
          <t>Menunggu retest</t>
        </is>
      </c>
      <c r="G37" s="3" t="inlineStr">
        <is>
          <t>Ditutup</t>
        </is>
      </c>
    </row>
    <row r="38">
      <c r="A38" s="4" t="inlineStr">
        <is>
          <t>Blocker</t>
        </is>
      </c>
      <c r="B38" s="5">
        <f>COUNTIF(Defect!M5:M64,"Blocker")</f>
        <v/>
      </c>
      <c r="C38" s="5">
        <f>COUNTIFS(Defect!M5:M64,"Blocker",Defect!P5:P64,"Baru")</f>
        <v/>
      </c>
      <c r="D38" s="5">
        <f>COUNTIFS(Defect!M5:M64,"Blocker",Defect!P5:P64,"Dikonfirmasi")</f>
        <v/>
      </c>
      <c r="E38" s="5">
        <f>COUNTIFS(Defect!M5:M64,"Blocker",Defect!P5:P64,"Sedang diperbaiki")</f>
        <v/>
      </c>
      <c r="F38" s="5">
        <f>COUNTIFS(Defect!M5:M64,"Blocker",Defect!P5:P64,"Menunggu retest")</f>
        <v/>
      </c>
      <c r="G38" s="5">
        <f>COUNTIFS(Defect!M5:M64,"Blocker",Defect!P5:P64,"Ditutup")</f>
        <v/>
      </c>
    </row>
    <row r="39">
      <c r="A39" s="4" t="inlineStr">
        <is>
          <t>Major</t>
        </is>
      </c>
      <c r="B39" s="5">
        <f>COUNTIF(Defect!M5:M64,"Major")</f>
        <v/>
      </c>
      <c r="C39" s="5">
        <f>COUNTIFS(Defect!M5:M64,"Major",Defect!P5:P64,"Baru")</f>
        <v/>
      </c>
      <c r="D39" s="5">
        <f>COUNTIFS(Defect!M5:M64,"Major",Defect!P5:P64,"Dikonfirmasi")</f>
        <v/>
      </c>
      <c r="E39" s="5">
        <f>COUNTIFS(Defect!M5:M64,"Major",Defect!P5:P64,"Sedang diperbaiki")</f>
        <v/>
      </c>
      <c r="F39" s="5">
        <f>COUNTIFS(Defect!M5:M64,"Major",Defect!P5:P64,"Menunggu retest")</f>
        <v/>
      </c>
      <c r="G39" s="5">
        <f>COUNTIFS(Defect!M5:M64,"Major",Defect!P5:P64,"Ditutup")</f>
        <v/>
      </c>
    </row>
    <row r="40">
      <c r="A40" s="4" t="inlineStr">
        <is>
          <t>Minor</t>
        </is>
      </c>
      <c r="B40" s="5">
        <f>COUNTIF(Defect!M5:M64,"Minor")</f>
        <v/>
      </c>
      <c r="C40" s="5">
        <f>COUNTIFS(Defect!M5:M64,"Minor",Defect!P5:P64,"Baru")</f>
        <v/>
      </c>
      <c r="D40" s="5">
        <f>COUNTIFS(Defect!M5:M64,"Minor",Defect!P5:P64,"Dikonfirmasi")</f>
        <v/>
      </c>
      <c r="E40" s="5">
        <f>COUNTIFS(Defect!M5:M64,"Minor",Defect!P5:P64,"Sedang diperbaiki")</f>
        <v/>
      </c>
      <c r="F40" s="5">
        <f>COUNTIFS(Defect!M5:M64,"Minor",Defect!P5:P64,"Menunggu retest")</f>
        <v/>
      </c>
      <c r="G40" s="5">
        <f>COUNTIFS(Defect!M5:M64,"Minor",Defect!P5:P64,"Ditutup")</f>
        <v/>
      </c>
    </row>
    <row r="41">
      <c r="A41" s="4" t="inlineStr">
        <is>
          <t>Trivial</t>
        </is>
      </c>
      <c r="B41" s="5">
        <f>COUNTIF(Defect!M5:M64,"Trivial")</f>
        <v/>
      </c>
      <c r="C41" s="5">
        <f>COUNTIFS(Defect!M5:M64,"Trivial",Defect!P5:P64,"Baru")</f>
        <v/>
      </c>
      <c r="D41" s="5">
        <f>COUNTIFS(Defect!M5:M64,"Trivial",Defect!P5:P64,"Dikonfirmasi")</f>
        <v/>
      </c>
      <c r="E41" s="5">
        <f>COUNTIFS(Defect!M5:M64,"Trivial",Defect!P5:P64,"Sedang diperbaiki")</f>
        <v/>
      </c>
      <c r="F41" s="5">
        <f>COUNTIFS(Defect!M5:M64,"Trivial",Defect!P5:P64,"Menunggu retest")</f>
        <v/>
      </c>
      <c r="G41" s="5">
        <f>COUNTIFS(Defect!M5:M64,"Trivial",Defect!P5:P64,"Ditutup")</f>
        <v/>
      </c>
    </row>
    <row r="42">
      <c r="A42" s="6" t="inlineStr">
        <is>
          <t>TOTAL</t>
        </is>
      </c>
      <c r="B42" s="7">
        <f>SUM(B38:B41)</f>
        <v/>
      </c>
      <c r="C42" s="7">
        <f>SUM(C38:C41)</f>
        <v/>
      </c>
      <c r="D42" s="7">
        <f>SUM(D38:D41)</f>
        <v/>
      </c>
      <c r="E42" s="7">
        <f>SUM(E38:E41)</f>
        <v/>
      </c>
      <c r="F42" s="7">
        <f>SUM(F38:F41)</f>
        <v/>
      </c>
      <c r="G42" s="7">
        <f>SUM(G38:G41)</f>
        <v/>
      </c>
    </row>
    <row r="44">
      <c r="A44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TC-BL-15</t>
        </is>
      </c>
      <c r="C269" s="18" t="inlineStr">
        <is>
          <t>P1</t>
        </is>
      </c>
      <c r="D269" s="16" t="inlineStr">
        <is>
          <t>Coba kirim bukti tanpa melampirkan foto</t>
        </is>
      </c>
      <c r="E269" s="16" t="inlineStr">
        <is>
          <t>Tombol Kirim mati</t>
        </is>
      </c>
      <c r="F269" s="16" t="inlineStr">
        <is>
          <t>F-BL-11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TC-BL-16</t>
        </is>
      </c>
      <c r="C270" s="15" t="inlineStr">
        <is>
          <t>P1</t>
        </is>
      </c>
      <c r="D270" s="13" t="inlineStr">
        <is>
          <t>Super Admin → tab Tagihan → Terima</t>
        </is>
      </c>
      <c r="E270" s="13" t="inlineStr">
        <is>
          <t>Status jadi Lunas; resto tetap terbuka; pita hilang</t>
        </is>
      </c>
      <c r="F270" s="13" t="inlineStr">
        <is>
          <t>F-BL-13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TC-BL-17</t>
        </is>
      </c>
      <c r="C271" s="18" t="inlineStr">
        <is>
          <t>P1</t>
        </is>
      </c>
      <c r="D271" s="16" t="inlineStr">
        <is>
          <t>Super Admin → Tolak tanpa mengisi alasan</t>
        </is>
      </c>
      <c r="E271" s="16" t="inlineStr">
        <is>
          <t>Tombol Tolak tidak menyelesaikan apa-apa — alasan wajib</t>
        </is>
      </c>
      <c r="F271" s="16" t="inlineStr">
        <is>
          <t>F-BL-14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TC-BL-18</t>
        </is>
      </c>
      <c r="C272" s="15" t="inlineStr">
        <is>
          <t>P1</t>
        </is>
      </c>
      <c r="D272" s="13" t="inlineStr">
        <is>
          <t>Tolak berikut alasan, lalu buka layar Tagihan dari sisi resto</t>
        </is>
      </c>
      <c r="E272" s="13" t="inlineStr">
        <is>
          <t>Alasannya terbaca; kalau sudah lewat tenggang, terkunci lagi</t>
        </is>
      </c>
      <c r="F272" s="13" t="inlineStr">
        <is>
          <t>F-BL-14, F-BL-15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TC-BL-19</t>
        </is>
      </c>
      <c r="C273" s="18" t="inlineStr">
        <is>
          <t>P1</t>
        </is>
      </c>
      <c r="D273" s="16" t="inlineStr">
        <is>
          <t>Login sebagai Super Admin saat ada resto terkunci</t>
        </is>
      </c>
      <c r="E273" s="16" t="inlineStr">
        <is>
          <t>Tidak terkunci sama sekali</t>
        </is>
      </c>
      <c r="F273" s="16" t="inlineStr">
        <is>
          <t>F-BL-17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TC-BL-20</t>
        </is>
      </c>
      <c r="C274" s="15" t="inlineStr">
        <is>
          <t>P1</t>
        </is>
      </c>
      <c r="D274" s="13" t="inlineStr">
        <is>
          <t>Sebagai resto terkunci, coba ubah harga produk</t>
        </is>
      </c>
      <c r="E274" s="13" t="inlineStr">
        <is>
          <t>Ditolak — katalog ikut dibekukan</t>
        </is>
      </c>
      <c r="F274" s="13" t="inlineStr">
        <is>
          <t>F-BL-18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TC-BL-21</t>
        </is>
      </c>
      <c r="C275" s="18" t="inlineStr">
        <is>
          <t>P1</t>
        </is>
      </c>
      <c r="D275" s="16" t="inlineStr">
        <is>
          <t>Resto A terkunci; buka aplikasi sebagai karyawan resto B</t>
        </is>
      </c>
      <c r="E275" s="16" t="inlineStr">
        <is>
          <t>Resto B tidak terpengaruh</t>
        </is>
      </c>
      <c r="F275" s="16" t="inlineStr">
        <is>
          <t>F-BL-15, A-10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TC-BL-22</t>
        </is>
      </c>
      <c r="C276" s="15" t="inlineStr">
        <is>
          <t>P1</t>
        </is>
      </c>
      <c r="D276" s="13" t="inlineStr">
        <is>
          <t>Coba panggil review_billing_payment sebagai Owner resto</t>
        </is>
      </c>
      <c r="E276" s="13" t="inlineStr">
        <is>
          <t>Ditolak — hanya Super Admin</t>
        </is>
      </c>
      <c r="F276" s="13" t="inlineStr">
        <is>
          <t>F-BL-13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TC-BL-23</t>
        </is>
      </c>
      <c r="C277" s="18" t="inlineStr">
        <is>
          <t>P1</t>
        </is>
      </c>
      <c r="D277" s="16" t="inlineStr">
        <is>
          <t>Coba UPDATE billing_invoices SET status='paid' sebagai Owner</t>
        </is>
      </c>
      <c r="E277" s="16" t="inlineStr">
        <is>
          <t>Ditolak</t>
        </is>
      </c>
      <c r="F277" s="16" t="inlineStr">
        <is>
          <t>F-BL-13, 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TC-BL-24</t>
        </is>
      </c>
      <c r="C278" s="19" t="inlineStr">
        <is>
          <t>P2</t>
        </is>
      </c>
      <c r="D278" s="13" t="inlineStr">
        <is>
          <t>Matikan sambungan, buka aplikasi resto berbayar yang lancar</t>
        </is>
      </c>
      <c r="E278" s="13" t="inlineStr">
        <is>
          <t>Tidak terkunci karena gagal memeriksa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TC-BL-25</t>
        </is>
      </c>
      <c r="C279" s="20" t="inlineStr">
        <is>
          <t>P2</t>
        </is>
      </c>
      <c r="D279" s="16" t="inlineStr">
        <is>
          <t>Owner → Tagihan Langganan</t>
        </is>
      </c>
      <c r="E279" s="16" t="inlineStr">
        <is>
          <t>Terbuka, memuat paket dan riwayat tagihan</t>
        </is>
      </c>
      <c r="F279" s="16" t="inlineStr">
        <is>
          <t>F-BL-11</t>
        </is>
      </c>
      <c r="G279" s="16" t="inlineStr"/>
      <c r="H279" s="16" t="inlineStr"/>
      <c r="I279" s="16" t="inlineStr"/>
    </row>
    <row r="280">
      <c r="A280" s="13" t="inlineStr">
        <is>
          <t>## 19c. Finance KaataGo (Super Admin)</t>
        </is>
      </c>
      <c r="B280" s="14" t="inlineStr">
        <is>
          <t>TC-PF-01</t>
        </is>
      </c>
      <c r="C280" s="15" t="inlineStr">
        <is>
          <t>P1</t>
        </is>
      </c>
      <c r="D280" s="13" t="inlineStr">
        <is>
          <t>Super Admin → Finance → Riwayat Langganan</t>
        </is>
      </c>
      <c r="E280" s="13" t="inlineStr">
        <is>
          <t>Tagihan lunas tampil, dikelompokkan per bulan, dengan total</t>
        </is>
      </c>
      <c r="F280" s="13" t="inlineStr">
        <is>
          <t>F-PF-01</t>
        </is>
      </c>
      <c r="G280" s="13" t="inlineStr"/>
      <c r="H280" s="13" t="inlineStr"/>
      <c r="I280" s="13" t="inlineStr"/>
    </row>
    <row r="281">
      <c r="A281" s="16" t="inlineStr">
        <is>
          <t>## 19c. Finance KaataGo (Super Admin)</t>
        </is>
      </c>
      <c r="B281" s="17" t="inlineStr">
        <is>
          <t>TC-PF-02</t>
        </is>
      </c>
      <c r="C281" s="20" t="inlineStr">
        <is>
          <t>P2</t>
        </is>
      </c>
      <c r="D281" s="16" t="inlineStr">
        <is>
          <t>Periksa penanda jalur pelunasan tiap baris</t>
        </is>
      </c>
      <c r="E281" s="16" t="inlineStr">
        <is>
          <t>Tertulis VA atau manual sesuai cara lunasnya</t>
        </is>
      </c>
      <c r="F281" s="16" t="inlineStr">
        <is>
          <t>F-PF-02</t>
        </is>
      </c>
      <c r="G281" s="16" t="inlineStr"/>
      <c r="H281" s="16" t="inlineStr"/>
      <c r="I281" s="16" t="inlineStr"/>
    </row>
    <row r="282">
      <c r="A282" s="13" t="inlineStr">
        <is>
          <t>## 19c. Finance KaataGo (Super Admin)</t>
        </is>
      </c>
      <c r="B282" s="14" t="inlineStr">
        <is>
          <t>TC-PF-03</t>
        </is>
      </c>
      <c r="C282" s="15" t="inlineStr">
        <is>
          <t>P1</t>
        </is>
      </c>
      <c r="D282" s="13" t="inlineStr">
        <is>
          <t>Buat diskon langganan 20% untuk satu resto → terbitkan tagihan</t>
        </is>
      </c>
      <c r="E282" s="13" t="inlineStr">
        <is>
          <t>Tagihan resto itu berkurang 20%; resto lain tetap penuh</t>
        </is>
      </c>
      <c r="F282" s="13" t="inlineStr">
        <is>
          <t>F-PF-03, F-PF-05</t>
        </is>
      </c>
      <c r="G282" s="13" t="inlineStr"/>
      <c r="H282" s="13" t="inlineStr"/>
      <c r="I282" s="13" t="inlineStr"/>
    </row>
    <row r="283">
      <c r="A283" s="16" t="inlineStr">
        <is>
          <t>## 19c. Finance KaataGo (Super Admin)</t>
        </is>
      </c>
      <c r="B283" s="17" t="inlineStr">
        <is>
          <t>TC-PF-04</t>
        </is>
      </c>
      <c r="C283" s="18" t="inlineStr">
        <is>
          <t>P1</t>
        </is>
      </c>
      <c r="D283" s="16" t="inlineStr">
        <is>
          <t>Simpan diskon tanpa memilih resto</t>
        </is>
      </c>
      <c r="E283" s="16" t="inlineStr">
        <is>
          <t>Ditolak — diskon tanpa sasaran tidak mengenai siapa pun</t>
        </is>
      </c>
      <c r="F283" s="16" t="inlineStr">
        <is>
          <t>F-PF-03</t>
        </is>
      </c>
      <c r="G283" s="16" t="inlineStr"/>
      <c r="H283" s="16" t="inlineStr"/>
      <c r="I283" s="16" t="inlineStr"/>
    </row>
    <row r="284">
      <c r="A284" s="13" t="inlineStr">
        <is>
          <t>## 19c. Finance KaataGo (Super Admin)</t>
        </is>
      </c>
      <c r="B284" s="14" t="inlineStr">
        <is>
          <t>TC-PF-05</t>
        </is>
      </c>
      <c r="C284" s="19" t="inlineStr">
        <is>
          <t>P2</t>
        </is>
      </c>
      <c r="D284" s="13" t="inlineStr">
        <is>
          <t>Buat diskon rupiah lebih besar daripada harga langganan</t>
        </is>
      </c>
      <c r="E284" s="13" t="inlineStr">
        <is>
          <t>Potongannya berhenti di harga; tagihan tidak pernah negatif</t>
        </is>
      </c>
      <c r="F284" s="13" t="inlineStr">
        <is>
          <t>F-PF-03</t>
        </is>
      </c>
      <c r="G284" s="13" t="inlineStr"/>
      <c r="H284" s="13" t="inlineStr"/>
      <c r="I284" s="13" t="inlineStr"/>
    </row>
    <row r="285">
      <c r="A285" s="16" t="inlineStr">
        <is>
          <t>## 19c. Finance KaataGo (Super Admin)</t>
        </is>
      </c>
      <c r="B285" s="17" t="inlineStr">
        <is>
          <t>TC-PF-06</t>
        </is>
      </c>
      <c r="C285" s="20" t="inlineStr">
        <is>
          <t>P2</t>
        </is>
      </c>
      <c r="D285" s="16" t="inlineStr">
        <is>
          <t>Nonaktifkan diskon, terbitkan tagihan berikutnya</t>
        </is>
      </c>
      <c r="E285" s="16" t="inlineStr">
        <is>
          <t>Tidak memotong; diskonnya tetap ada di daftar</t>
        </is>
      </c>
      <c r="F285" s="16" t="inlineStr">
        <is>
          <t>F-PF-04</t>
        </is>
      </c>
      <c r="G285" s="16" t="inlineStr"/>
      <c r="H285" s="16" t="inlineStr"/>
      <c r="I285" s="16" t="inlineStr"/>
    </row>
    <row r="286">
      <c r="A286" s="13" t="inlineStr">
        <is>
          <t>## 19c. Finance KaataGo (Super Admin)</t>
        </is>
      </c>
      <c r="B286" s="14" t="inlineStr">
        <is>
          <t>TC-PF-07</t>
        </is>
      </c>
      <c r="C286" s="15" t="inlineStr">
        <is>
          <t>P1</t>
        </is>
      </c>
      <c r="D286" s="13" t="inlineStr">
        <is>
          <t>Hapus diskon setelah tagihan terbit</t>
        </is>
      </c>
      <c r="E286" s="13" t="inlineStr">
        <is>
          <t>Tagihan yang sudah terbit tetap menyebut potongannya</t>
        </is>
      </c>
      <c r="F286" s="13" t="inlineStr">
        <is>
          <t>F-PF-05</t>
        </is>
      </c>
      <c r="G286" s="13" t="inlineStr"/>
      <c r="H286" s="13" t="inlineStr"/>
      <c r="I286" s="13" t="inlineStr"/>
    </row>
    <row r="287">
      <c r="A287" s="16" t="inlineStr">
        <is>
          <t>## 19c. Finance KaataGo (Super Admin)</t>
        </is>
      </c>
      <c r="B287" s="17" t="inlineStr">
        <is>
          <t>TC-PF-08</t>
        </is>
      </c>
      <c r="C287" s="18" t="inlineStr">
        <is>
          <t>P1</t>
        </is>
      </c>
      <c r="D287" s="16" t="inlineStr">
        <is>
          <t>Bayar tagihan berdiskon → buka Jurnal GL KaataGo</t>
        </is>
      </c>
      <c r="E287" s="16" t="inlineStr">
        <is>
          <t>Dua baris: pendapatan kredit, diskon debit</t>
        </is>
      </c>
      <c r="F287" s="16" t="inlineStr">
        <is>
          <t>F-PF-06, F-PF-07</t>
        </is>
      </c>
      <c r="G287" s="16" t="inlineStr"/>
      <c r="H287" s="16" t="inlineStr"/>
      <c r="I287" s="16" t="inlineStr"/>
    </row>
    <row r="288">
      <c r="A288" s="13" t="inlineStr">
        <is>
          <t>## 19c. Finance KaataGo (Super Admin)</t>
        </is>
      </c>
      <c r="B288" s="14" t="inlineStr">
        <is>
          <t>TC-PF-09</t>
        </is>
      </c>
      <c r="C288" s="15" t="inlineStr">
        <is>
          <t>P1</t>
        </is>
      </c>
      <c r="D288" s="13" t="inlineStr">
        <is>
          <t>Tagihan ditolak lalu diterima lagi</t>
        </is>
      </c>
      <c r="E288" s="13" t="inlineStr">
        <is>
          <t>Jurnalnya tetap satu set — pendapatan tidak tercatat dua kali</t>
        </is>
      </c>
      <c r="F288" s="13" t="inlineStr">
        <is>
          <t>F-PF-07</t>
        </is>
      </c>
      <c r="G288" s="13" t="inlineStr"/>
      <c r="H288" s="13" t="inlineStr"/>
      <c r="I288" s="13" t="inlineStr"/>
    </row>
    <row r="289">
      <c r="A289" s="16" t="inlineStr">
        <is>
          <t>## 19c. Finance KaataGo (Super Admin)</t>
        </is>
      </c>
      <c r="B289" s="17" t="inlineStr">
        <is>
          <t>TC-PF-10</t>
        </is>
      </c>
      <c r="C289" s="18" t="inlineStr">
        <is>
          <t>P1</t>
        </is>
      </c>
      <c r="D289" s="16" t="inlineStr">
        <is>
          <t>Buka Jurnal GL resto yang membayar</t>
        </is>
      </c>
      <c r="E289" s="16" t="inlineStr">
        <is>
          <t>Tidak ada baris pendapatan langganan di sana</t>
        </is>
      </c>
      <c r="F289" s="16" t="inlineStr">
        <is>
          <t>F-PF-07</t>
        </is>
      </c>
      <c r="G289" s="16" t="inlineStr"/>
      <c r="H289" s="16" t="inlineStr"/>
      <c r="I289" s="16" t="inlineStr"/>
    </row>
    <row r="290">
      <c r="A290" s="13" t="inlineStr">
        <is>
          <t>## 19c. Finance KaataGo (Super Admin)</t>
        </is>
      </c>
      <c r="B290" s="14" t="inlineStr">
        <is>
          <t>TC-PF-11</t>
        </is>
      </c>
      <c r="C290" s="19" t="inlineStr">
        <is>
          <t>P2</t>
        </is>
      </c>
      <c r="D290" s="13" t="inlineStr">
        <is>
          <t>Buka Mapping GL Account KaataGo</t>
        </is>
      </c>
      <c r="E290" s="13" t="inlineStr">
        <is>
          <t>Bagan akun 11xxxxx lengkap, berbeda dari 19xxxxx milik resto</t>
        </is>
      </c>
      <c r="F290" s="13" t="inlineStr">
        <is>
          <t>F-PF-08</t>
        </is>
      </c>
      <c r="G290" s="13" t="inlineStr"/>
      <c r="H290" s="13" t="inlineStr"/>
      <c r="I290" s="13" t="inlineStr"/>
    </row>
    <row r="291">
      <c r="A291" s="16" t="inlineStr">
        <is>
          <t>## 19c. Finance KaataGo (Super Admin)</t>
        </is>
      </c>
      <c r="B291" s="17" t="inlineStr">
        <is>
          <t>TC-PF-12</t>
        </is>
      </c>
      <c r="C291" s="20" t="inlineStr">
        <is>
          <t>P2</t>
        </is>
      </c>
      <c r="D291" s="16" t="inlineStr">
        <is>
          <t>Catat pengeluaran dan top up petty cash KaataGo</t>
        </is>
      </c>
      <c r="E291" s="16" t="inlineStr">
        <is>
          <t>Bekerja sama seperti di resto</t>
        </is>
      </c>
      <c r="F291" s="16" t="inlineStr">
        <is>
          <t>F-PF-09</t>
        </is>
      </c>
      <c r="G291" s="16" t="inlineStr"/>
      <c r="H291" s="16" t="inlineStr"/>
      <c r="I291" s="16" t="inlineStr"/>
    </row>
    <row r="292">
      <c r="A292" s="13" t="inlineStr">
        <is>
          <t>## 19c. Finance KaataGo (Super Admin)</t>
        </is>
      </c>
      <c r="B292" s="14" t="inlineStr">
        <is>
          <t>TC-PF-13</t>
        </is>
      </c>
      <c r="C292" s="15" t="inlineStr">
        <is>
          <t>P1</t>
        </is>
      </c>
      <c r="D292" s="13" t="inlineStr">
        <is>
          <t>Telusuri menu Finance KaataGo</t>
        </is>
      </c>
      <c r="E292" s="13" t="inlineStr">
        <is>
          <t>Tidak ada Setor Saldo Cash</t>
        </is>
      </c>
      <c r="F292" s="13" t="inlineStr">
        <is>
          <t>F-PF-10</t>
        </is>
      </c>
      <c r="G292" s="13" t="inlineStr"/>
      <c r="H292" s="13" t="inlineStr"/>
      <c r="I292" s="13" t="inlineStr"/>
    </row>
    <row r="293">
      <c r="A293" s="16" t="inlineStr">
        <is>
          <t>## 19c. Finance KaataGo (Super Admin)</t>
        </is>
      </c>
      <c r="B293" s="17" t="inlineStr">
        <is>
          <t>TC-PF-14</t>
        </is>
      </c>
      <c r="C293" s="18" t="inlineStr">
        <is>
          <t>P1</t>
        </is>
      </c>
      <c r="D293" s="16" t="inlineStr">
        <is>
          <t>Buka Jurnal GL Semua Resto</t>
        </is>
      </c>
      <c r="E293" s="16" t="inlineStr">
        <is>
          <t>Jurnal seluruh resto tampil, bisa disaring per resto</t>
        </is>
      </c>
      <c r="F293" s="16" t="inlineStr">
        <is>
          <t>F-PF-11</t>
        </is>
      </c>
      <c r="G293" s="16" t="inlineStr"/>
      <c r="H293" s="16" t="inlineStr"/>
      <c r="I293" s="16" t="inlineStr"/>
    </row>
    <row r="294">
      <c r="A294" s="13" t="inlineStr">
        <is>
          <t>## 19c. Finance KaataGo (Super Admin)</t>
        </is>
      </c>
      <c r="B294" s="14" t="inlineStr">
        <is>
          <t>TC-PF-15</t>
        </is>
      </c>
      <c r="C294" s="15" t="inlineStr">
        <is>
          <t>P1</t>
        </is>
      </c>
      <c r="D294" s="13" t="inlineStr">
        <is>
          <t>Cari cara mengubah baris di Jurnal GL Semua Resto</t>
        </is>
      </c>
      <c r="E294" s="13" t="inlineStr">
        <is>
          <t>Tidak ada satu pun — hanya bisa dilihat</t>
        </is>
      </c>
      <c r="F294" s="13" t="inlineStr">
        <is>
          <t>F-PF-12</t>
        </is>
      </c>
      <c r="G294" s="13" t="inlineStr"/>
      <c r="H294" s="13" t="inlineStr"/>
      <c r="I294" s="13" t="inlineStr"/>
    </row>
    <row r="295">
      <c r="A295" s="16" t="inlineStr">
        <is>
          <t>## 19c. Finance KaataGo (Super Admin)</t>
        </is>
      </c>
      <c r="B295" s="17" t="inlineStr">
        <is>
          <t>TC-PF-16</t>
        </is>
      </c>
      <c r="C295" s="18" t="inlineStr">
        <is>
          <t>P1</t>
        </is>
      </c>
      <c r="D295" s="16" t="inlineStr">
        <is>
          <t>Coba UPDATE gl_journal_entries sebagai Super Admin lewat API</t>
        </is>
      </c>
      <c r="E295" s="16" t="inlineStr">
        <is>
          <t>Ditolak</t>
        </is>
      </c>
      <c r="F295" s="16" t="inlineStr">
        <is>
          <t>F-PF-12, TSD §7.4</t>
        </is>
      </c>
      <c r="G295" s="16" t="inlineStr"/>
      <c r="H295" s="16" t="inlineStr"/>
      <c r="I295" s="16" t="inlineStr"/>
    </row>
    <row r="296">
      <c r="A296" s="13" t="inlineStr">
        <is>
          <t>## 19c. Finance KaataGo (Super Admin)</t>
        </is>
      </c>
      <c r="B296" s="14" t="inlineStr">
        <is>
          <t>TC-PF-17</t>
        </is>
      </c>
      <c r="C296" s="15" t="inlineStr">
        <is>
          <t>P1</t>
        </is>
      </c>
      <c r="D296" s="13" t="inlineStr">
        <is>
          <t>Buka Pilih Resto sebagai pelanggan</t>
        </is>
      </c>
      <c r="E296" s="13" t="inlineStr">
        <is>
          <t>KaataGo tidak muncul di daftar mana pun</t>
        </is>
      </c>
      <c r="F296" s="13" t="inlineStr">
        <is>
          <t>TSD §7.4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TC-PF-18</t>
        </is>
      </c>
      <c r="C297" s="18" t="inlineStr">
        <is>
          <t>P1</t>
        </is>
      </c>
      <c r="D297" s="16" t="inlineStr">
        <is>
          <t>Buka List Resto dan Billing Resto sebagai Super Admin</t>
        </is>
      </c>
      <c r="E297" s="16" t="inlineStr">
        <is>
          <t>KaataGo tidak muncul sebagai resto yang bisa ditagih</t>
        </is>
      </c>
      <c r="F297" s="16" t="inlineStr">
        <is>
          <t>TSD §7.4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TC-PF-19</t>
        </is>
      </c>
      <c r="C298" s="19" t="inlineStr">
        <is>
          <t>P2</t>
        </is>
      </c>
      <c r="D298" s="13" t="inlineStr">
        <is>
          <t>Buka Diskon Langganan sebagai Owner resto</t>
        </is>
      </c>
      <c r="E298" s="13" t="inlineStr">
        <is>
          <t>Hanya diskon yang mengenai restonya yang terbaca</t>
        </is>
      </c>
      <c r="F298" s="13" t="inlineStr">
        <is>
          <t>F-PF-03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TC-PF-20</t>
        </is>
      </c>
      <c r="C299" s="18" t="inlineStr">
        <is>
          <t>P1</t>
        </is>
      </c>
      <c r="D299" s="16" t="inlineStr">
        <is>
          <t>Bandingkan total debit/kredit Jurnal Semua Resto dengan Jurnal GL resto itu (saring ke resto yang sama)</t>
        </is>
      </c>
      <c r="E299" s="16" t="inlineStr">
        <is>
          <t>Angkanya sama persis</t>
        </is>
      </c>
      <c r="F299" s="16" t="inlineStr">
        <is>
          <t>F-PF-14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TC-PF-21</t>
        </is>
      </c>
      <c r="C300" s="15" t="inlineStr">
        <is>
          <t>P1</t>
        </is>
      </c>
      <c r="D300" s="13" t="inlineStr">
        <is>
          <t>Batalkan sebuah pengeluaran, lihat kedua layar jurnal</t>
        </is>
      </c>
      <c r="E300" s="13" t="inlineStr">
        <is>
          <t>Total tidak naik; keterangan "N pembatalan tidak dihitung" muncul</t>
        </is>
      </c>
      <c r="F300" s="13" t="inlineStr">
        <is>
          <t>F-PF-14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TC-PF-22</t>
        </is>
      </c>
      <c r="C301" s="20" t="inlineStr">
        <is>
          <t>P2</t>
        </is>
      </c>
      <c r="D301" s="16" t="inlineStr">
        <is>
          <t>Cari baris pembatalan di daftar</t>
        </is>
      </c>
      <c r="E301" s="16" t="inlineStr">
        <is>
          <t>Tetap tampil, bertanda PEMBATALAN</t>
        </is>
      </c>
      <c r="F301" s="16" t="inlineStr">
        <is>
          <t>F-PF-15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TC-PF-23</t>
        </is>
      </c>
      <c r="C302" s="15" t="inlineStr">
        <is>
          <t>P1</t>
        </is>
      </c>
      <c r="D302" s="13" t="inlineStr">
        <is>
          <t>Saring ke sebuah resto, lalu pilih Semua resto lagi</t>
        </is>
      </c>
      <c r="E302" s="13" t="inlineStr">
        <is>
          <t>Kembali menampilkan seluruh resto — bukan tetap tersaring</t>
        </is>
      </c>
      <c r="F302" s="13" t="inlineStr">
        <is>
          <t>F-PF-16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TC-PF-24</t>
        </is>
      </c>
      <c r="C303" s="18" t="inlineStr">
        <is>
          <t>P1</t>
        </is>
      </c>
      <c r="D303" s="16" t="inlineStr">
        <is>
          <t>Saring ke resto A, lalu saring lagi ke resto B yang punya jurnal</t>
        </is>
      </c>
      <c r="E303" s="16" t="inlineStr">
        <is>
          <t>Isinya berganti ke jurnal resto B</t>
        </is>
      </c>
      <c r="F303" s="16" t="inlineStr">
        <is>
          <t>F-PF-16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TC-PF-25</t>
        </is>
      </c>
      <c r="C304" s="19" t="inlineStr">
        <is>
          <t>P2</t>
        </is>
      </c>
      <c r="D304" s="13" t="inlineStr">
        <is>
          <t>Perhatikan pita di atas layar sesudah menyaring</t>
        </is>
      </c>
      <c r="E304" s="13" t="inlineStr">
        <is>
          <t>Nama restonya tertulis, dengan tombol × untuk melepasnya</t>
        </is>
      </c>
      <c r="F304" s="13" t="inlineStr">
        <is>
          <t>F-PF-16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TC-PF-26</t>
        </is>
      </c>
      <c r="C305" s="20" t="inlineStr">
        <is>
          <t>P2</t>
        </is>
      </c>
      <c r="D305" s="16" t="inlineStr">
        <is>
          <t>Buka daftar saringan</t>
        </is>
      </c>
      <c r="E305" s="16" t="inlineStr">
        <is>
          <t>Resto yang belum punya jurnal ditandai "Belum ada jurnal"</t>
        </is>
      </c>
      <c r="F305" s="16" t="inlineStr">
        <is>
          <t>F-PF-17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TC-PF-27</t>
        </is>
      </c>
      <c r="C306" s="19" t="inlineStr">
        <is>
          <t>P2</t>
        </is>
      </c>
      <c r="D306" s="13" t="inlineStr">
        <is>
          <t>Perhatikan pengelompokan</t>
        </is>
      </c>
      <c r="E306" s="13" t="inlineStr">
        <is>
          <t>Per tanggal, bisa dilipat; tanggal terbaru terbuka, sisanya tertutup</t>
        </is>
      </c>
      <c r="F306" s="13" t="inlineStr">
        <is>
          <t>F-PF-18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TC-PF-28</t>
        </is>
      </c>
      <c r="C307" s="18" t="inlineStr">
        <is>
          <t>P1</t>
        </is>
      </c>
      <c r="D307" s="16" t="inlineStr">
        <is>
          <t>Buka Mapping GL Account resto mana pun</t>
        </is>
      </c>
      <c r="E307" s="16" t="inlineStr">
        <is>
          <t>GL Diskon punya bagiannya dan nomornya sudah terisi</t>
        </is>
      </c>
      <c r="F307" s="16" t="inlineStr">
        <is>
          <t>F-PF-19, F-DS-09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TC-PF-29</t>
        </is>
      </c>
      <c r="C308" s="19" t="inlineStr">
        <is>
          <t>P2</t>
        </is>
      </c>
      <c r="D308" s="13" t="inlineStr">
        <is>
          <t>Buka Mapping GL Account KaataGo</t>
        </is>
      </c>
      <c r="E308" s="13" t="inlineStr">
        <is>
          <t>Ada bagian GL Langganan; penghitung akun tidak pernah menyisakan yang mustahil terisi</t>
        </is>
      </c>
      <c r="F308" s="13" t="inlineStr">
        <is>
          <t>F-PF-19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TC-PF-30</t>
        </is>
      </c>
      <c r="C309" s="18" t="inlineStr">
        <is>
          <t>P1</t>
        </is>
      </c>
      <c r="D309" s="16" t="inlineStr">
        <is>
          <t>Pesan menu berpromo, bayar, buka Jurnal GL</t>
        </is>
      </c>
      <c r="E309" s="16" t="inlineStr">
        <is>
          <t>Baris GL Diskon menyebut nama promonya</t>
        </is>
      </c>
      <c r="F309" s="16" t="inlineStr">
        <is>
          <t>F-PF-20, F-DS-13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TC-PF-31</t>
        </is>
      </c>
      <c r="C310" s="15" t="inlineStr">
        <is>
          <t>P1</t>
        </is>
      </c>
      <c r="D310" s="13" t="inlineStr">
        <is>
          <t>Buka Jurnal GL Semua Resto sesudah ada tagihan langganan lunas</t>
        </is>
      </c>
      <c r="E310" s="13" t="inlineStr">
        <is>
          <t>Baris pendapatan langganan tidak muncul di sana</t>
        </is>
      </c>
      <c r="F310" s="13" t="inlineStr">
        <is>
          <t>F-PF-21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TC-PF-32</t>
        </is>
      </c>
      <c r="C311" s="18" t="inlineStr">
        <is>
          <t>P1</t>
        </is>
      </c>
      <c r="D311" s="16" t="inlineStr">
        <is>
          <t>Buka daftar saringan resto</t>
        </is>
      </c>
      <c r="E311" s="16" t="inlineStr">
        <is>
          <t>KaataGo tidak ada di daftarnya</t>
        </is>
      </c>
      <c r="F311" s="16" t="inlineStr">
        <is>
          <t>F-PF-21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TC-PF-33</t>
        </is>
      </c>
      <c r="C312" s="15" t="inlineStr">
        <is>
          <t>P1</t>
        </is>
      </c>
      <c r="D312" s="13" t="inlineStr">
        <is>
          <t>Buka Jurnal GL KaataGo</t>
        </is>
      </c>
      <c r="E312" s="13" t="inlineStr">
        <is>
          <t>Pendapatan langganan ada di sana, dan Saldo Total tidak nol</t>
        </is>
      </c>
      <c r="F312" s="13" t="inlineStr">
        <is>
          <t>F-PF-07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TC-PF-34</t>
        </is>
      </c>
      <c r="C313" s="20" t="inlineStr">
        <is>
          <t>P2</t>
        </is>
      </c>
      <c r="D313" s="16" t="inlineStr">
        <is>
          <t>Periksa nomor akun di Jurnal GL KaataGo</t>
        </is>
      </c>
      <c r="E313" s="16" t="inlineStr">
        <is>
          <t>Golongan 11xxxxx, berbeda dari 19xxxxx milik resto</t>
        </is>
      </c>
      <c r="F313" s="16" t="inlineStr">
        <is>
          <t>F-PF-08</t>
        </is>
      </c>
      <c r="G313" s="16" t="inlineStr"/>
      <c r="H313" s="16" t="inlineStr"/>
      <c r="I313" s="16" t="inlineStr"/>
    </row>
    <row r="314">
      <c r="A314" s="13" t="inlineStr">
        <is>
          <t>Uji Teknis (lingkup TSD)</t>
        </is>
      </c>
      <c r="B314" s="14" t="inlineStr">
        <is>
          <t>TC-TS-01</t>
        </is>
      </c>
      <c r="C314" s="15" t="inlineStr">
        <is>
          <t>P1</t>
        </is>
      </c>
      <c r="D314" s="13" t="inlineStr">
        <is>
          <t>Panggil GET /rest/v1/orders memakai kunci anon tanpa login</t>
        </is>
      </c>
      <c r="E314" s="13" t="inlineStr">
        <is>
          <t>Tidak mengembalikan pesanan resto mana pun</t>
        </is>
      </c>
      <c r="F314" s="13" t="inlineStr">
        <is>
          <t>TSD §5</t>
        </is>
      </c>
      <c r="G314" s="13" t="inlineStr"/>
      <c r="H314" s="13" t="inlineStr"/>
      <c r="I314" s="13" t="inlineStr"/>
    </row>
    <row r="315">
      <c r="A315" s="16" t="inlineStr">
        <is>
          <t>Uji Teknis (lingkup TSD)</t>
        </is>
      </c>
      <c r="B315" s="17" t="inlineStr">
        <is>
          <t>TC-TS-02</t>
        </is>
      </c>
      <c r="C315" s="18" t="inlineStr">
        <is>
          <t>P1</t>
        </is>
      </c>
      <c r="D315" s="16" t="inlineStr">
        <is>
          <t>Login sebagai karyawan resto A, baca orders resto B lewat API</t>
        </is>
      </c>
      <c r="E315" s="16" t="inlineStr">
        <is>
          <t>Kosong — bukan galat, tapi juga bukan data</t>
        </is>
      </c>
      <c r="F315" s="16" t="inlineStr">
        <is>
          <t>TSD §5</t>
        </is>
      </c>
      <c r="G315" s="16" t="inlineStr"/>
      <c r="H315" s="16" t="inlineStr"/>
      <c r="I315" s="16" t="inlineStr"/>
    </row>
    <row r="316">
      <c r="A316" s="13" t="inlineStr">
        <is>
          <t>Uji Teknis (lingkup TSD)</t>
        </is>
      </c>
      <c r="B316" s="14" t="inlineStr">
        <is>
          <t>TC-TS-03</t>
        </is>
      </c>
      <c r="C316" s="15" t="inlineStr">
        <is>
          <t>P1</t>
        </is>
      </c>
      <c r="D316" s="13" t="inlineStr">
        <is>
          <t>Login sebagai Owner, buka tiap layar resto miliknya</t>
        </is>
      </c>
      <c r="E316" s="13" t="inlineStr">
        <is>
          <t>Tidak ada layar yang kosong karena RLS — owner harus disebut di setiap daftar peran</t>
        </is>
      </c>
      <c r="F316" s="13" t="inlineStr">
        <is>
          <t>TSD §5</t>
        </is>
      </c>
      <c r="G316" s="13" t="inlineStr"/>
      <c r="H316" s="13" t="inlineStr"/>
      <c r="I316" s="13" t="inlineStr"/>
    </row>
    <row r="317">
      <c r="A317" s="16" t="inlineStr">
        <is>
          <t>Uji Teknis (lingkup TSD)</t>
        </is>
      </c>
      <c r="B317" s="17" t="inlineStr">
        <is>
          <t>TC-TS-04</t>
        </is>
      </c>
      <c r="C317" s="18" t="inlineStr">
        <is>
          <t>P1</t>
        </is>
      </c>
      <c r="D317" s="16" t="inlineStr">
        <is>
          <t>Login sebagai Kasir, baca gl_journal_entries</t>
        </is>
      </c>
      <c r="E317" s="16" t="inlineStr">
        <is>
          <t>Hanya yang terkait catatan yang memang boleh dia lihat</t>
        </is>
      </c>
      <c r="F317" s="16" t="inlineStr">
        <is>
          <t>F-KS-13, TSD §5.1</t>
        </is>
      </c>
      <c r="G317" s="16" t="inlineStr"/>
      <c r="H317" s="16" t="inlineStr"/>
      <c r="I317" s="16" t="inlineStr"/>
    </row>
    <row r="318">
      <c r="A318" s="13" t="inlineStr">
        <is>
          <t>Uji Teknis (lingkup TSD)</t>
        </is>
      </c>
      <c r="B318" s="14" t="inlineStr">
        <is>
          <t>TC-TS-05</t>
        </is>
      </c>
      <c r="C318" s="15" t="inlineStr">
        <is>
          <t>P1</t>
        </is>
      </c>
      <c r="D318" s="13" t="inlineStr">
        <is>
          <t>Coba UPDATE products langsung lewat API sebagai pelanggan</t>
        </is>
      </c>
      <c r="E318" s="13" t="inlineStr">
        <is>
          <t>Ditolak; pengurangan stok hanya lewat decrement_stock</t>
        </is>
      </c>
      <c r="F318" s="13" t="inlineStr">
        <is>
          <t>TSD §5.2</t>
        </is>
      </c>
      <c r="G318" s="13" t="inlineStr"/>
      <c r="H318" s="13" t="inlineStr"/>
      <c r="I318" s="13" t="inlineStr"/>
    </row>
    <row r="319">
      <c r="A319" s="16" t="inlineStr">
        <is>
          <t>Uji Teknis (lingkup TSD)</t>
        </is>
      </c>
      <c r="B319" s="17" t="inlineStr">
        <is>
          <t>TC-TS-06</t>
        </is>
      </c>
      <c r="C319" s="18" t="inlineStr">
        <is>
          <t>P1</t>
        </is>
      </c>
      <c r="D319" s="16" t="inlineStr">
        <is>
          <t>Panggil cancel_my_order untuk pesanan milik orang lain</t>
        </is>
      </c>
      <c r="E319" s="16" t="inlineStr">
        <is>
          <t>Ditolak</t>
        </is>
      </c>
      <c r="F319" s="16" t="inlineStr">
        <is>
          <t>TSD §5.2</t>
        </is>
      </c>
      <c r="G319" s="16" t="inlineStr"/>
      <c r="H319" s="16" t="inlineStr"/>
      <c r="I319" s="16" t="inlineStr"/>
    </row>
    <row r="320">
      <c r="A320" s="13" t="inlineStr">
        <is>
          <t>Uji Teknis (lingkup TSD)</t>
        </is>
      </c>
      <c r="B320" s="14" t="inlineStr">
        <is>
          <t>TC-TS-07</t>
        </is>
      </c>
      <c r="C320" s="15" t="inlineStr">
        <is>
          <t>P1</t>
        </is>
      </c>
      <c r="D320" s="13" t="inlineStr">
        <is>
          <t>Jalankan ulang seluruh JALANKAN-INI.sql di database yang sudah terisi</t>
        </is>
      </c>
      <c r="E320" s="13" t="inlineStr">
        <is>
          <t>Selesai tanpa galat; tidak ada data yang berubah</t>
        </is>
      </c>
      <c r="F320" s="13" t="inlineStr">
        <is>
          <t>TSD §11</t>
        </is>
      </c>
      <c r="G320" s="13" t="inlineStr"/>
      <c r="H320" s="13" t="inlineStr"/>
      <c r="I320" s="13" t="inlineStr"/>
    </row>
    <row r="321">
      <c r="A321" s="16" t="inlineStr">
        <is>
          <t>Uji Teknis (lingkup TSD)</t>
        </is>
      </c>
      <c r="B321" s="17" t="inlineStr">
        <is>
          <t>TC-TS-08</t>
        </is>
      </c>
      <c r="C321" s="18" t="inlineStr">
        <is>
          <t>P1</t>
        </is>
      </c>
      <c r="D321" s="16" t="inlineStr">
        <is>
          <t>Jalankan ulang satu berkas SQL lama saja, misal cash_payment_expiry.sql</t>
        </is>
      </c>
      <c r="E321" s="16" t="inlineStr">
        <is>
          <t>Tidak menyempitkan daftar nilai batasan mana pun</t>
        </is>
      </c>
      <c r="F321" s="16" t="inlineStr">
        <is>
          <t>TSD §11.1</t>
        </is>
      </c>
      <c r="G321" s="16" t="inlineStr"/>
      <c r="H321" s="16" t="inlineStr"/>
      <c r="I321" s="16" t="inlineStr"/>
    </row>
    <row r="322">
      <c r="A322" s="13" t="inlineStr">
        <is>
          <t>Uji Teknis (lingkup TSD)</t>
        </is>
      </c>
      <c r="B322" s="14" t="inlineStr">
        <is>
          <t>TC-TS-09</t>
        </is>
      </c>
      <c r="C322" s="15" t="inlineStr">
        <is>
          <t>P1</t>
        </is>
      </c>
      <c r="D322" s="13" t="inlineStr">
        <is>
          <t>Buat resto baru dari Super Admin</t>
        </is>
      </c>
      <c r="E322" s="13" t="inlineStr">
        <is>
          <t>Bagan akun GL 12 jenis dan tarif PPN/service langsung terisi</t>
        </is>
      </c>
      <c r="F322" s="13" t="inlineStr">
        <is>
          <t>A-19, TSD §6.2</t>
        </is>
      </c>
      <c r="G322" s="13" t="inlineStr"/>
      <c r="H322" s="13" t="inlineStr"/>
      <c r="I322" s="13" t="inlineStr"/>
    </row>
    <row r="323">
      <c r="A323" s="16" t="inlineStr">
        <is>
          <t>Uji Teknis (lingkup TSD)</t>
        </is>
      </c>
      <c r="B323" s="17" t="inlineStr">
        <is>
          <t>TC-TS-10</t>
        </is>
      </c>
      <c r="C323" s="18" t="inlineStr">
        <is>
          <t>P1</t>
        </is>
      </c>
      <c r="D323" s="16" t="inlineStr">
        <is>
          <t>Kosongkan satu nomor GL, lalu buat transaksi</t>
        </is>
      </c>
      <c r="E323" s="16" t="inlineStr">
        <is>
          <t>Jurnal untuk baris itu tidak terbentuk — pastikan gejalanya dikenali penguji</t>
        </is>
      </c>
      <c r="F323" s="16" t="inlineStr">
        <is>
          <t>TSD §6.2</t>
        </is>
      </c>
      <c r="G323" s="16" t="inlineStr"/>
      <c r="H323" s="16" t="inlineStr"/>
      <c r="I323" s="16" t="inlineStr"/>
    </row>
    <row r="324">
      <c r="A324" s="13" t="inlineStr">
        <is>
          <t>Uji Teknis (lingkup TSD)</t>
        </is>
      </c>
      <c r="B324" s="14" t="inlineStr">
        <is>
          <t>TC-TS-11</t>
        </is>
      </c>
      <c r="C324" s="19" t="inlineStr">
        <is>
          <t>P2</t>
        </is>
      </c>
      <c r="D324" s="13" t="inlineStr">
        <is>
          <t>Periksa push_outbox sesudah pengumuman terbit</t>
        </is>
      </c>
      <c r="E324" s="13" t="inlineStr">
        <is>
          <t>Baris masuk, lalu sent_at terisi</t>
        </is>
      </c>
      <c r="F324" s="13" t="inlineStr">
        <is>
          <t>TSD §8</t>
        </is>
      </c>
      <c r="G324" s="13" t="inlineStr"/>
      <c r="H324" s="13" t="inlineStr"/>
      <c r="I324" s="13" t="inlineStr"/>
    </row>
    <row r="325">
      <c r="A325" s="16" t="inlineStr">
        <is>
          <t>Uji Teknis (lingkup TSD)</t>
        </is>
      </c>
      <c r="B325" s="17" t="inlineStr">
        <is>
          <t>TC-TS-12</t>
        </is>
      </c>
      <c r="C325" s="20" t="inlineStr">
        <is>
          <t>P2</t>
        </is>
      </c>
      <c r="D325" s="16" t="inlineStr">
        <is>
          <t>Matikan sambungan, pakai aplikasi</t>
        </is>
      </c>
      <c r="E325" s="16" t="inlineStr">
        <is>
          <t>Katalog tetap tampil; pesanan tunai tetap bisa dibuat</t>
        </is>
      </c>
      <c r="F325" s="16" t="inlineStr">
        <is>
          <t>TSD §10, FSD §5.6</t>
        </is>
      </c>
      <c r="G325" s="16" t="inlineStr"/>
      <c r="H325" s="16" t="inlineStr"/>
      <c r="I325" s="16" t="inlineStr"/>
    </row>
    <row r="326">
      <c r="A326" s="13" t="inlineStr">
        <is>
          <t>Uji Teknis (lingkup TSD)</t>
        </is>
      </c>
      <c r="B326" s="14" t="inlineStr">
        <is>
          <t>TC-TS-13</t>
        </is>
      </c>
      <c r="C326" s="19" t="inlineStr">
        <is>
          <t>P2</t>
        </is>
      </c>
      <c r="D326" s="13" t="inlineStr">
        <is>
          <t>Sambungkan lagi</t>
        </is>
      </c>
      <c r="E326" s="13" t="inlineStr">
        <is>
          <t>Pesanan yang dibuat saat luring terkirim</t>
        </is>
      </c>
      <c r="F326" s="13" t="inlineStr">
        <is>
          <t>TSD §10</t>
        </is>
      </c>
      <c r="G326" s="13" t="inlineStr"/>
      <c r="H326" s="13" t="inlineStr"/>
      <c r="I326" s="13" t="inlineStr"/>
    </row>
    <row r="327">
      <c r="A327" s="16" t="inlineStr">
        <is>
          <t>Uji Teknis (lingkup TSD)</t>
        </is>
      </c>
      <c r="B327" s="17" t="inlineStr">
        <is>
          <t>TC-TS-14</t>
        </is>
      </c>
      <c r="C327" s="18" t="inlineStr">
        <is>
          <t>P1</t>
        </is>
      </c>
      <c r="D327" s="16" t="inlineStr">
        <is>
          <t>Coba bayar QRIS saat luring</t>
        </is>
      </c>
      <c r="E327" s="16" t="inlineStr">
        <is>
          <t>Ditolak dengan jelas — bukan menggantung tanpa kabar</t>
        </is>
      </c>
      <c r="F327" s="16" t="inlineStr">
        <is>
          <t>FSD §5.6</t>
        </is>
      </c>
      <c r="G327" s="16" t="inlineStr"/>
      <c r="H327" s="16" t="inlineStr"/>
      <c r="I327" s="16" t="inlineStr"/>
    </row>
    <row r="328">
      <c r="A328" s="13" t="inlineStr">
        <is>
          <t>Uji Teknis (lingkup TSD)</t>
        </is>
      </c>
      <c r="B328" s="14" t="inlineStr">
        <is>
          <t>TC-TS-15</t>
        </is>
      </c>
      <c r="C328" s="15" t="inlineStr">
        <is>
          <t>P1</t>
        </is>
      </c>
      <c r="D328" s="13" t="inlineStr">
        <is>
          <t>Panggil create-qris dengan nominal yang dipalsukan di badan permintaan</t>
        </is>
      </c>
      <c r="E328" s="13" t="inlineStr">
        <is>
          <t>Nominal yang dipakai tetap dari basis data</t>
        </is>
      </c>
      <c r="F328" s="13" t="inlineStr">
        <is>
          <t>TSD §7.1</t>
        </is>
      </c>
      <c r="G328" s="13" t="inlineStr"/>
      <c r="H328" s="13" t="inlineStr"/>
      <c r="I328" s="13" t="inlineStr"/>
    </row>
    <row r="329">
      <c r="A329" s="16" t="inlineStr">
        <is>
          <t>Uji Teknis (lingkup TSD)</t>
        </is>
      </c>
      <c r="B329" s="17" t="inlineStr">
        <is>
          <t>TC-TS-16</t>
        </is>
      </c>
      <c r="C329" s="18" t="inlineStr">
        <is>
          <t>P1</t>
        </is>
      </c>
      <c r="D329" s="16" t="inlineStr">
        <is>
          <t>Tandai pesanan lunas lewat API tanpa lewat webhook</t>
        </is>
      </c>
      <c r="E329" s="16" t="inlineStr">
        <is>
          <t>Ditolak</t>
        </is>
      </c>
      <c r="F329" s="16" t="inlineStr">
        <is>
          <t>F-PG-02, TSD §7.1</t>
        </is>
      </c>
      <c r="G329" s="16" t="inlineStr"/>
      <c r="H329" s="16" t="inlineStr"/>
      <c r="I329" s="16" t="inlineStr"/>
    </row>
    <row r="330">
      <c r="A330" s="13" t="inlineStr">
        <is>
          <t>Uji Teknis (lingkup TSD)</t>
        </is>
      </c>
      <c r="B330" s="14" t="inlineStr">
        <is>
          <t>TC-TS-17</t>
        </is>
      </c>
      <c r="C330" s="19" t="inlineStr">
        <is>
          <t>P2</t>
        </is>
      </c>
      <c r="D330" s="13" t="inlineStr">
        <is>
          <t>Bongkar APK, cari kunci Xendit/FCM/Resend</t>
        </is>
      </c>
      <c r="E330" s="13" t="inlineStr">
        <is>
          <t>Tidak ada satu pun kunci pengirim di dalamnya</t>
        </is>
      </c>
      <c r="F330" s="13" t="inlineStr">
        <is>
          <t>TSD §1.2</t>
        </is>
      </c>
      <c r="G330" s="13" t="inlineStr"/>
      <c r="H330" s="13" t="inlineStr"/>
      <c r="I330" s="13" t="inlineStr"/>
    </row>
    <row r="331">
      <c r="A331" s="16" t="inlineStr">
        <is>
          <t>Uji Teknis (lingkup TSD)</t>
        </is>
      </c>
      <c r="B331" s="17" t="inlineStr">
        <is>
          <t>TC-TS-18</t>
        </is>
      </c>
      <c r="C331" s="20" t="inlineStr">
        <is>
          <t>P2</t>
        </is>
      </c>
      <c r="D331" s="16" t="inlineStr">
        <is>
          <t>Pesanan berpindah status lunas lebih dari sekali</t>
        </is>
      </c>
      <c r="E331" s="16" t="inlineStr">
        <is>
          <t>Jurnalnya tetap satu set — tidak ada baris ganda</t>
        </is>
      </c>
      <c r="F331" s="16" t="inlineStr">
        <is>
          <t>TSD §6.5</t>
        </is>
      </c>
      <c r="G331" s="16" t="inlineStr"/>
      <c r="H331" s="16" t="inlineStr"/>
      <c r="I331" s="16" t="inlineStr"/>
    </row>
    <row r="332">
      <c r="A332" s="13" t="inlineStr">
        <is>
          <t>Uji Teknis (lingkup TSD)</t>
        </is>
      </c>
      <c r="B332" s="14" t="inlineStr">
        <is>
          <t>TC-TS-19</t>
        </is>
      </c>
      <c r="C332" s="19" t="inlineStr">
        <is>
          <t>P2</t>
        </is>
      </c>
      <c r="D332" s="13" t="inlineStr">
        <is>
          <t>Hapus resto uji</t>
        </is>
      </c>
      <c r="E332" s="13" t="inlineStr">
        <is>
          <t>Seluruh isinya ikut terhapus, termasuk jurnalnya</t>
        </is>
      </c>
      <c r="F332" s="13" t="inlineStr">
        <is>
          <t>TSD §4.0</t>
        </is>
      </c>
      <c r="G332" s="13" t="inlineStr"/>
      <c r="H332" s="13" t="inlineStr"/>
      <c r="I332" s="13" t="inlineStr"/>
    </row>
    <row r="333">
      <c r="A333" s="16" t="inlineStr">
        <is>
          <t>Regresi — bug yang pernah terjadi</t>
        </is>
      </c>
      <c r="B333" s="17" t="inlineStr">
        <is>
          <t>TC-RG-01</t>
        </is>
      </c>
      <c r="C333" s="18" t="inlineStr">
        <is>
          <t>P1</t>
        </is>
      </c>
      <c r="D333" s="16" t="inlineStr">
        <is>
          <t>Nominal QRIS kasir memakai subtotal menu, bukan total tagihan</t>
        </is>
      </c>
      <c r="E333" s="16" t="inlineStr">
        <is>
          <t>Nominal di layar QRIS = total termasuk service dan PPN</t>
        </is>
      </c>
      <c r="F333" s="16" t="inlineStr">
        <is>
          <t>F-KS-09</t>
        </is>
      </c>
      <c r="G333" s="16" t="inlineStr"/>
      <c r="H333" s="16" t="inlineStr"/>
      <c r="I333" s="16" t="inlineStr"/>
    </row>
    <row r="334">
      <c r="A334" s="13" t="inlineStr">
        <is>
          <t>Regresi — bug yang pernah terjadi</t>
        </is>
      </c>
      <c r="B334" s="14" t="inlineStr">
        <is>
          <t>TC-RG-02</t>
        </is>
      </c>
      <c r="C334" s="15" t="inlineStr">
        <is>
          <t>P1</t>
        </is>
      </c>
      <c r="D334" s="13" t="inlineStr">
        <is>
          <t>Pesanan dilunasi lewat QRIS hilang dari Riwayat Kasir</t>
        </is>
      </c>
      <c r="E334" s="13" t="inlineStr">
        <is>
          <t>Semua cara bayar masuk Riwayat Kasir</t>
        </is>
      </c>
      <c r="F334" s="13" t="inlineStr">
        <is>
          <t>F-PP-09, A-13</t>
        </is>
      </c>
      <c r="G334" s="13" t="inlineStr"/>
      <c r="H334" s="13" t="inlineStr"/>
      <c r="I334" s="13" t="inlineStr"/>
    </row>
    <row r="335">
      <c r="A335" s="16" t="inlineStr">
        <is>
          <t>Regresi — bug yang pernah terjadi</t>
        </is>
      </c>
      <c r="B335" s="17" t="inlineStr">
        <is>
          <t>TC-RG-03</t>
        </is>
      </c>
      <c r="C335" s="18" t="inlineStr">
        <is>
          <t>P1</t>
        </is>
      </c>
      <c r="D335" s="16" t="inlineStr">
        <is>
          <t>Pesanan dibatalkan tampil "Menunggu Pembayaran" di Pesanan Masuk</t>
        </is>
      </c>
      <c r="E335" s="16" t="inlineStr">
        <is>
          <t>Tidak muncul sama sekali</t>
        </is>
      </c>
      <c r="F335" s="16" t="inlineStr">
        <is>
          <t>A-17</t>
        </is>
      </c>
      <c r="G335" s="16" t="inlineStr"/>
      <c r="H335" s="16" t="inlineStr"/>
      <c r="I335" s="16" t="inlineStr"/>
    </row>
    <row r="336">
      <c r="A336" s="13" t="inlineStr">
        <is>
          <t>Regresi — bug yang pernah terjadi</t>
        </is>
      </c>
      <c r="B336" s="14" t="inlineStr">
        <is>
          <t>TC-RG-04</t>
        </is>
      </c>
      <c r="C336" s="15" t="inlineStr">
        <is>
          <t>P1</t>
        </is>
      </c>
      <c r="D336" s="13" t="inlineStr">
        <is>
          <t>Top up Rp 100.000 tercatat Rp 200.000 di jurnal</t>
        </is>
      </c>
      <c r="E336" s="13" t="inlineStr">
        <is>
          <t>Nominalnya sama dengan yang diajukan</t>
        </is>
      </c>
      <c r="F336" s="13" t="inlineStr">
        <is>
          <t>F-FN-03</t>
        </is>
      </c>
      <c r="G336" s="13" t="inlineStr"/>
      <c r="H336" s="13" t="inlineStr"/>
      <c r="I336" s="13" t="inlineStr"/>
    </row>
    <row r="337">
      <c r="A337" s="16" t="inlineStr">
        <is>
          <t>Regresi — bug yang pernah terjadi</t>
        </is>
      </c>
      <c r="B337" s="17" t="inlineStr">
        <is>
          <t>TC-RG-05</t>
        </is>
      </c>
      <c r="C337" s="18" t="inlineStr">
        <is>
          <t>P1</t>
        </is>
      </c>
      <c r="D337" s="16" t="inlineStr">
        <is>
          <t>Diskon tidak berlaku untuk pesanan mandiri pelanggan</t>
        </is>
      </c>
      <c r="E337" s="16" t="inlineStr">
        <is>
          <t>Berlaku sama di kasir dan HP pelanggan</t>
        </is>
      </c>
      <c r="F337" s="16" t="inlineStr">
        <is>
          <t>A-14</t>
        </is>
      </c>
      <c r="G337" s="16" t="inlineStr"/>
      <c r="H337" s="16" t="inlineStr"/>
      <c r="I337" s="16" t="inlineStr"/>
    </row>
    <row r="338">
      <c r="A338" s="13" t="inlineStr">
        <is>
          <t>Regresi — bug yang pernah terjadi</t>
        </is>
      </c>
      <c r="B338" s="14" t="inlineStr">
        <is>
          <t>TC-RG-06</t>
        </is>
      </c>
      <c r="C338" s="15" t="inlineStr">
        <is>
          <t>P1</t>
        </is>
      </c>
      <c r="D338" s="13" t="inlineStr">
        <is>
          <t>Promo "beli 2" lolos oleh keranjang berisi dua menu berbeda</t>
        </is>
      </c>
      <c r="E338" s="13" t="inlineStr">
        <is>
          <t>Syarat jumlah dihitung per menu, dan seluruhnya harus terpenuhi</t>
        </is>
      </c>
      <c r="F338" s="13" t="inlineStr">
        <is>
          <t>F-DS-10, F-DS-12</t>
        </is>
      </c>
      <c r="G338" s="13" t="inlineStr"/>
      <c r="H338" s="13" t="inlineStr"/>
      <c r="I338" s="13" t="inlineStr"/>
    </row>
    <row r="339">
      <c r="A339" s="16" t="inlineStr">
        <is>
          <t>Regresi — bug yang pernah terjadi</t>
        </is>
      </c>
      <c r="B339" s="17" t="inlineStr">
        <is>
          <t>TC-RG-07</t>
        </is>
      </c>
      <c r="C339" s="20" t="inlineStr">
        <is>
          <t>P2</t>
        </is>
      </c>
      <c r="D339" s="16" t="inlineStr">
        <is>
          <t>Tombol pilih/hapus di kotak masuk tidak bereaksi sama sekali</t>
        </is>
      </c>
      <c r="E339" s="16" t="inlineStr">
        <is>
          <t>Bekerja di kotak masuk karyawan dan pelanggan</t>
        </is>
      </c>
      <c r="F339" s="16" t="inlineStr">
        <is>
          <t>F-IN-15</t>
        </is>
      </c>
      <c r="G339" s="16" t="inlineStr"/>
      <c r="H339" s="16" t="inlineStr"/>
      <c r="I339" s="16" t="inlineStr"/>
    </row>
    <row r="340">
      <c r="A340" s="13" t="inlineStr">
        <is>
          <t>Regresi — bug yang pernah terjadi</t>
        </is>
      </c>
      <c r="B340" s="14" t="inlineStr">
        <is>
          <t>TC-RG-08</t>
        </is>
      </c>
      <c r="C340" s="19" t="inlineStr">
        <is>
          <t>P2</t>
        </is>
      </c>
      <c r="D340" s="13" t="inlineStr">
        <is>
          <t>Layar Diskon dari hub Kasir menyebut "Belum ada produk di resto ini"</t>
        </is>
      </c>
      <c r="E340" s="13" t="inlineStr">
        <is>
          <t>Daftar menu termuat</t>
        </is>
      </c>
      <c r="F340" s="13" t="inlineStr">
        <is>
          <t>F-DS-01</t>
        </is>
      </c>
      <c r="G340" s="13" t="inlineStr"/>
      <c r="H340" s="13" t="inlineStr"/>
      <c r="I340" s="13" t="inlineStr"/>
    </row>
    <row r="341">
      <c r="A341" s="16" t="inlineStr">
        <is>
          <t>Regresi — bug yang pernah terjadi</t>
        </is>
      </c>
      <c r="B341" s="17" t="inlineStr">
        <is>
          <t>TC-RG-09</t>
        </is>
      </c>
      <c r="C341" s="20" t="inlineStr">
        <is>
          <t>P2</t>
        </is>
      </c>
      <c r="D341" s="16" t="inlineStr">
        <is>
          <t>Kasir tidak bisa membuka detail jurnal — terlihat seperti GL belum dipetakan</t>
        </is>
      </c>
      <c r="E341" s="16" t="inlineStr">
        <is>
          <t>Detail jurnal terbuka</t>
        </is>
      </c>
      <c r="F341" s="16" t="inlineStr">
        <is>
          <t>F-KS-13</t>
        </is>
      </c>
      <c r="G341" s="16" t="inlineStr"/>
      <c r="H341" s="16" t="inlineStr"/>
      <c r="I341" s="16" t="inlineStr"/>
    </row>
    <row r="342">
      <c r="A342" s="13" t="inlineStr">
        <is>
          <t>Regresi — bug yang pernah terjadi</t>
        </is>
      </c>
      <c r="B342" s="14" t="inlineStr">
        <is>
          <t>TC-RG-10</t>
        </is>
      </c>
      <c r="C342" s="19" t="inlineStr">
        <is>
          <t>P2</t>
        </is>
      </c>
      <c r="D342" s="13" t="inlineStr">
        <is>
          <t>Layar dapur meninggalkan jejak warna lama saat tema diganti</t>
        </is>
      </c>
      <c r="E342" s="13" t="inlineStr">
        <is>
          <t>Seluruh layar berganti bersih</t>
        </is>
      </c>
      <c r="F342" s="13" t="inlineStr">
        <is>
          <t>A-18</t>
        </is>
      </c>
      <c r="G342" s="13" t="inlineStr"/>
      <c r="H342" s="13" t="inlineStr"/>
      <c r="I342" s="13" t="inlineStr"/>
    </row>
    <row r="343">
      <c r="A343" s="16" t="inlineStr">
        <is>
          <t>Regresi — bug yang pernah terjadi</t>
        </is>
      </c>
      <c r="B343" s="17" t="inlineStr">
        <is>
          <t>TC-RG-11</t>
        </is>
      </c>
      <c r="C343" s="20" t="inlineStr">
        <is>
          <t>P2</t>
        </is>
      </c>
      <c r="D343" s="16" t="inlineStr">
        <is>
          <t>Banner promo menempel di atas, tidak ikut tergulir</t>
        </is>
      </c>
      <c r="E343" s="16" t="inlineStr">
        <is>
          <t>Ikut tergulir bersama menunya</t>
        </is>
      </c>
      <c r="F343" s="16" t="inlineStr">
        <is>
          <t>F-CU-16, A-12</t>
        </is>
      </c>
      <c r="G343" s="16" t="inlineStr"/>
      <c r="H343" s="16" t="inlineStr"/>
      <c r="I343" s="16" t="inlineStr"/>
    </row>
    <row r="344">
      <c r="A344" s="13" t="inlineStr">
        <is>
          <t>Regresi — bug yang pernah terjadi</t>
        </is>
      </c>
      <c r="B344" s="14" t="inlineStr">
        <is>
          <t>TC-RG-12</t>
        </is>
      </c>
      <c r="C344" s="19" t="inlineStr">
        <is>
          <t>P2</t>
        </is>
      </c>
      <c r="D344" s="13" t="inlineStr">
        <is>
          <t>Owner hanya bisa melihat Info Pembayaran</t>
        </is>
      </c>
      <c r="E344" s="13" t="inlineStr">
        <is>
          <t>Owner bisa mengubahnya</t>
        </is>
      </c>
      <c r="F344" s="13" t="inlineStr">
        <is>
          <t>F-SD-02</t>
        </is>
      </c>
      <c r="G344" s="13" t="inlineStr"/>
      <c r="H344" s="13" t="inlineStr"/>
      <c r="I344" s="13" t="inlineStr"/>
    </row>
    <row r="345">
      <c r="A345" s="16" t="inlineStr">
        <is>
          <t>Regresi — bug yang pernah terjadi</t>
        </is>
      </c>
      <c r="B345" s="17" t="inlineStr">
        <is>
          <t>TC-RG-13</t>
        </is>
      </c>
      <c r="C345" s="18" t="inlineStr">
        <is>
          <t>P1</t>
        </is>
      </c>
      <c r="D345" s="16" t="inlineStr">
        <is>
          <t>Migrasi gagal: daftar nilai batasan menyempit saat berkas lama dijalankan ulang</t>
        </is>
      </c>
      <c r="E345" s="16" t="inlineStr">
        <is>
          <t>Menjalankan ulang berkas mana pun tidak pernah menolak data yang sudah ada</t>
        </is>
      </c>
      <c r="F345" s="16" t="inlineStr">
        <is>
          <t>TSD §11.1</t>
        </is>
      </c>
      <c r="G345" s="16" t="inlineStr"/>
      <c r="H345" s="16" t="inlineStr"/>
      <c r="I345" s="16" t="inlineStr"/>
    </row>
    <row r="346">
      <c r="A346" s="13" t="inlineStr">
        <is>
          <t>Regresi — bug yang pernah terjadi</t>
        </is>
      </c>
      <c r="B346" s="14" t="inlineStr">
        <is>
          <t>TC-RG-14</t>
        </is>
      </c>
      <c r="C346" s="19" t="inlineStr">
        <is>
          <t>P2</t>
        </is>
      </c>
      <c r="D346" s="13" t="inlineStr">
        <is>
          <t>QR meja borongan bernomor 07, berbeda dengan mode satu meja</t>
        </is>
      </c>
      <c r="E346" s="13" t="inlineStr">
        <is>
          <t>Keduanya menulis 7</t>
        </is>
      </c>
      <c r="F346" s="13" t="inlineStr">
        <is>
          <t>F-QR-07</t>
        </is>
      </c>
      <c r="G346" s="13" t="inlineStr"/>
      <c r="H346" s="13" t="inlineStr"/>
      <c r="I346" s="13" t="inlineStr"/>
    </row>
    <row r="347">
      <c r="A347" s="16" t="inlineStr">
        <is>
          <t>Uji Ujung-ke-Ujung</t>
        </is>
      </c>
      <c r="B347" s="17" t="inlineStr">
        <is>
          <t>E2E-09</t>
        </is>
      </c>
      <c r="C347" s="18" t="inlineStr">
        <is>
          <t>P1</t>
        </is>
      </c>
      <c r="D347" s="16" t="inlineStr">
        <is>
          <t>Satu siklus langganan penuh</t>
        </is>
      </c>
      <c r="E347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47" s="16" t="inlineStr">
        <is>
          <t>F-BL-07 … F-BL-18, TSD §7.3</t>
        </is>
      </c>
      <c r="G347" s="16" t="inlineStr"/>
      <c r="H347" s="16" t="inlineStr"/>
      <c r="I347" s="16" t="inlineStr"/>
    </row>
    <row r="348">
      <c r="A348" s="13" t="inlineStr">
        <is>
          <t>Uji Ujung-ke-Ujung</t>
        </is>
      </c>
      <c r="B348" s="14" t="inlineStr">
        <is>
          <t>E2E-01</t>
        </is>
      </c>
      <c r="C348" s="15" t="inlineStr">
        <is>
          <t>P1</t>
        </is>
      </c>
      <c r="D348" s="13" t="inlineStr">
        <is>
          <t>Pelanggan bayar QRIS</t>
        </is>
      </c>
      <c r="E348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48" s="13" t="inlineStr">
        <is>
          <t>F-CU-09, F-PG-02, F-CH-06, TSD §6, TSD §7.1</t>
        </is>
      </c>
      <c r="G348" s="13" t="inlineStr"/>
      <c r="H348" s="13" t="inlineStr"/>
      <c r="I348" s="13" t="inlineStr"/>
    </row>
    <row r="349">
      <c r="A349" s="16" t="inlineStr">
        <is>
          <t>Uji Ujung-ke-Ujung</t>
        </is>
      </c>
      <c r="B349" s="17" t="inlineStr">
        <is>
          <t>E2E-02</t>
        </is>
      </c>
      <c r="C349" s="18" t="inlineStr">
        <is>
          <t>P1</t>
        </is>
      </c>
      <c r="D349" s="16" t="inlineStr">
        <is>
          <t>Pelanggan bayar tunai di kasir</t>
        </is>
      </c>
      <c r="E349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49" s="16" t="inlineStr">
        <is>
          <t>F-CU-09, F-PP-01, F-PP-06, F-PP-07, F-CH-06, A-02, A-13</t>
        </is>
      </c>
      <c r="G349" s="16" t="inlineStr"/>
      <c r="H349" s="16" t="inlineStr"/>
      <c r="I349" s="16" t="inlineStr"/>
    </row>
    <row r="350">
      <c r="A350" s="13" t="inlineStr">
        <is>
          <t>Uji Ujung-ke-Ujung</t>
        </is>
      </c>
      <c r="B350" s="14" t="inlineStr">
        <is>
          <t>E2E-03</t>
        </is>
      </c>
      <c r="C350" s="15" t="inlineStr">
        <is>
          <t>P1</t>
        </is>
      </c>
      <c r="D350" s="13" t="inlineStr">
        <is>
          <t>Tunai dengan cara bayar diganti</t>
        </is>
      </c>
      <c r="E350" s="13" t="inlineStr">
        <is>
          <t>1. Ulangi E2E-02, tapi pada langkah 4 ganti cara bayarnya ke QRIS.
2. Pesanannya harus tetap masuk Riwayat Kasir, dan masuk Non Cash
3. di Saldo.</t>
        </is>
      </c>
      <c r="F350" s="13" t="inlineStr">
        <is>
          <t>F-PP-09, A-13, TSD §4.2</t>
        </is>
      </c>
      <c r="G350" s="13" t="inlineStr"/>
      <c r="H350" s="13" t="inlineStr"/>
      <c r="I350" s="13" t="inlineStr"/>
    </row>
    <row r="351">
      <c r="A351" s="16" t="inlineStr">
        <is>
          <t>Uji Ujung-ke-Ujung</t>
        </is>
      </c>
      <c r="B351" s="17" t="inlineStr">
        <is>
          <t>E2E-04</t>
        </is>
      </c>
      <c r="C351" s="18" t="inlineStr">
        <is>
          <t>P1</t>
        </is>
      </c>
      <c r="D351" s="16" t="inlineStr">
        <is>
          <t>Setor tunai ke rekening</t>
        </is>
      </c>
      <c r="E351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51" s="16" t="inlineStr">
        <is>
          <t>F-SD-01, F-SD-05, A-05, TSD §6.4</t>
        </is>
      </c>
      <c r="G351" s="16" t="inlineStr"/>
      <c r="H351" s="16" t="inlineStr"/>
      <c r="I351" s="16" t="inlineStr"/>
    </row>
    <row r="352">
      <c r="A352" s="13" t="inlineStr">
        <is>
          <t>Uji Ujung-ke-Ujung</t>
        </is>
      </c>
      <c r="B352" s="14" t="inlineStr">
        <is>
          <t>E2E-05</t>
        </is>
      </c>
      <c r="C352" s="15" t="inlineStr">
        <is>
          <t>P1</t>
        </is>
      </c>
      <c r="D352" s="13" t="inlineStr">
        <is>
          <t>Top up petty cash</t>
        </is>
      </c>
      <c r="E352" s="13" t="inlineStr">
        <is>
          <t>1. Sama polanya dengan E2E-04, lewat GL Suspense Petty Cash. Top up
2. Rp 100.000 harus menambah Petty Cash Rp 100.000 — bukan Rp 200.000.</t>
        </is>
      </c>
      <c r="F352" s="13" t="inlineStr">
        <is>
          <t>F-FN-03, TSD §6.4</t>
        </is>
      </c>
      <c r="G352" s="13" t="inlineStr"/>
      <c r="H352" s="13" t="inlineStr"/>
      <c r="I352" s="13" t="inlineStr"/>
    </row>
    <row r="353">
      <c r="A353" s="16" t="inlineStr">
        <is>
          <t>Uji Ujung-ke-Ujung</t>
        </is>
      </c>
      <c r="B353" s="17" t="inlineStr">
        <is>
          <t>E2E-06</t>
        </is>
      </c>
      <c r="C353" s="18" t="inlineStr">
        <is>
          <t>P1</t>
        </is>
      </c>
      <c r="D353" s="16" t="inlineStr">
        <is>
          <t>Promo bundling dari HP pelanggan</t>
        </is>
      </c>
      <c r="E353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53" s="16" t="inlineStr">
        <is>
          <t>F-DS-10, F-DS-12, F-CU-17, F-DS-08, F-DS-09, A-14</t>
        </is>
      </c>
      <c r="G353" s="16" t="inlineStr"/>
      <c r="H353" s="16" t="inlineStr"/>
      <c r="I353" s="16" t="inlineStr"/>
    </row>
    <row r="354">
      <c r="A354" s="13" t="inlineStr">
        <is>
          <t>Uji Ujung-ke-Ujung</t>
        </is>
      </c>
      <c r="B354" s="14" t="inlineStr">
        <is>
          <t>E2E-07</t>
        </is>
      </c>
      <c r="C354" s="15" t="inlineStr">
        <is>
          <t>P1</t>
        </is>
      </c>
      <c r="D354" s="13" t="inlineStr">
        <is>
          <t>Pembatalan oleh pelanggan</t>
        </is>
      </c>
      <c r="E354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54" s="13" t="inlineStr">
        <is>
          <t>F-CN-01, A-17</t>
        </is>
      </c>
      <c r="G354" s="13" t="inlineStr"/>
      <c r="H354" s="13" t="inlineStr"/>
      <c r="I354" s="13" t="inlineStr"/>
    </row>
    <row r="355">
      <c r="A355" s="16" t="inlineStr">
        <is>
          <t>Uji Ujung-ke-Ujung</t>
        </is>
      </c>
      <c r="B355" s="17" t="inlineStr">
        <is>
          <t>E2E-08</t>
        </is>
      </c>
      <c r="C355" s="18" t="inlineStr">
        <is>
          <t>P1</t>
        </is>
      </c>
      <c r="D355" s="16" t="inlineStr">
        <is>
          <t>Isolasi antar cabang</t>
        </is>
      </c>
      <c r="E355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55" s="16" t="inlineStr">
        <is>
          <t>F-AD-08, F-IN-10, A-10</t>
        </is>
      </c>
      <c r="G355" s="16" t="inlineStr"/>
      <c r="H355" s="16" t="inlineStr"/>
      <c r="I355" s="16" t="inlineStr"/>
    </row>
  </sheetData>
  <autoFilter ref="A1:I355"/>
  <dataValidations count="1">
    <dataValidation sqref="G2:G355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2026-08-17T14:45:54Z</dcterms:created>
  <dcterms:modified xmlns:dcterms="http://purl.org/dc/terms/" xmlns:xsi="http://www.w3.org/2001/XMLSchema-instance" xsi:type="dcterms:W3CDTF">2026-08-17T14:45:55Z</dcterms:modified>
</cp:coreProperties>
</file>