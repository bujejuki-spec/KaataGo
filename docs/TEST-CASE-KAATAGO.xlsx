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Uji'!$A$1:$I$453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Uji'!C2:C453,"P1")</f>
        <v/>
      </c>
      <c r="C5" s="5">
        <f>COUNTIFS('Kasus Uji'!C2:C453,"P1",'Kasus Uji'!G2:G453,"Lulus")</f>
        <v/>
      </c>
      <c r="D5" s="5">
        <f>COUNTIFS('Kasus Uji'!C2:C453,"P1",'Kasus Uji'!G2:G453,"Gagal")</f>
        <v/>
      </c>
      <c r="E5" s="5">
        <f>COUNTIFS('Kasus Uji'!C2:C453,"P1",'Kasus Uji'!G2:G453,"Terblokir")</f>
        <v/>
      </c>
      <c r="F5" s="5">
        <f>COUNTIFS('Kasus Uji'!C2:C453,"P1",'Kasus Uji'!G2:G453,"Dilewati")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Uji'!C2:C453,"P2")</f>
        <v/>
      </c>
      <c r="C6" s="5">
        <f>COUNTIFS('Kasus Uji'!C2:C453,"P2",'Kasus Uji'!G2:G453,"Lulus")</f>
        <v/>
      </c>
      <c r="D6" s="5">
        <f>COUNTIFS('Kasus Uji'!C2:C453,"P2",'Kasus Uji'!G2:G453,"Gagal")</f>
        <v/>
      </c>
      <c r="E6" s="5">
        <f>COUNTIFS('Kasus Uji'!C2:C453,"P2",'Kasus Uji'!G2:G453,"Terblokir")</f>
        <v/>
      </c>
      <c r="F6" s="5">
        <f>COUNTIFS('Kasus Uji'!C2:C453,"P2",'Kasus Uji'!G2:G453,"Dilewati")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Uji'!C2:C453,"P3")</f>
        <v/>
      </c>
      <c r="C7" s="5">
        <f>COUNTIFS('Kasus Uji'!C2:C453,"P3",'Kasus Uji'!G2:G453,"Lulus")</f>
        <v/>
      </c>
      <c r="D7" s="5">
        <f>COUNTIFS('Kasus Uji'!C2:C453,"P3",'Kasus Uji'!G2:G453,"Gagal")</f>
        <v/>
      </c>
      <c r="E7" s="5">
        <f>COUNTIFS('Kasus Uji'!C2:C453,"P3",'Kasus Uji'!G2:G453,"Terblokir")</f>
        <v/>
      </c>
      <c r="F7" s="5">
        <f>COUNTIFS('Kasus Uji'!C2:C453,"P3",'Kasus Uji'!G2:G453,"Dilewati")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Uji'!A2:A453,"Pelanggan")</f>
        <v/>
      </c>
      <c r="C12" s="5">
        <f>COUNTIFS('Kasus Uji'!A2:A453,"Pelanggan",'Kasus Uji'!G2:G453,"Lulus")</f>
        <v/>
      </c>
      <c r="D12" s="5">
        <f>COUNTIFS('Kasus Uji'!A2:A453,"Pelanggan",'Kasus Uji'!G2:G453,"Gagal")</f>
        <v/>
      </c>
      <c r="E12" s="5">
        <f>COUNTIFS('Kasus Uji'!A2:A453,"Pelanggan",'Kasus Uji'!G2:G453,"Terblokir")</f>
        <v/>
      </c>
      <c r="F12" s="5">
        <f>COUNTIFS('Kasus Uji'!A2:A453,"Pelanggan",'Kasus Uji'!G2:G453,"Dilewati")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Uji'!A2:A453,"Kasir")</f>
        <v/>
      </c>
      <c r="C13" s="5">
        <f>COUNTIFS('Kasus Uji'!A2:A453,"Kasir",'Kasus Uji'!G2:G453,"Lulus")</f>
        <v/>
      </c>
      <c r="D13" s="5">
        <f>COUNTIFS('Kasus Uji'!A2:A453,"Kasir",'Kasus Uji'!G2:G453,"Gagal")</f>
        <v/>
      </c>
      <c r="E13" s="5">
        <f>COUNTIFS('Kasus Uji'!A2:A453,"Kasir",'Kasus Uji'!G2:G453,"Terblokir")</f>
        <v/>
      </c>
      <c r="F13" s="5">
        <f>COUNTIFS('Kasus Uji'!A2:A453,"Kasir",'Kasus Uji'!G2:G453,"Dilewati")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Uji'!A2:A453,"Pending Payment")</f>
        <v/>
      </c>
      <c r="C14" s="5">
        <f>COUNTIFS('Kasus Uji'!A2:A453,"Pending Payment",'Kasus Uji'!G2:G453,"Lulus")</f>
        <v/>
      </c>
      <c r="D14" s="5">
        <f>COUNTIFS('Kasus Uji'!A2:A453,"Pending Payment",'Kasus Uji'!G2:G453,"Gagal")</f>
        <v/>
      </c>
      <c r="E14" s="5">
        <f>COUNTIFS('Kasus Uji'!A2:A453,"Pending Payment",'Kasus Uji'!G2:G453,"Terblokir")</f>
        <v/>
      </c>
      <c r="F14" s="5">
        <f>COUNTIFS('Kasus Uji'!A2:A453,"Pending Payment",'Kasus Uji'!G2:G453,"Dilewati")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Uji'!A2:A453,"Dapur")</f>
        <v/>
      </c>
      <c r="C15" s="5">
        <f>COUNTIFS('Kasus Uji'!A2:A453,"Dapur",'Kasus Uji'!G2:G453,"Lulus")</f>
        <v/>
      </c>
      <c r="D15" s="5">
        <f>COUNTIFS('Kasus Uji'!A2:A453,"Dapur",'Kasus Uji'!G2:G453,"Gagal")</f>
        <v/>
      </c>
      <c r="E15" s="5">
        <f>COUNTIFS('Kasus Uji'!A2:A453,"Dapur",'Kasus Uji'!G2:G453,"Terblokir")</f>
        <v/>
      </c>
      <c r="F15" s="5">
        <f>COUNTIFS('Kasus Uji'!A2:A453,"Dapur",'Kasus Uji'!G2:G453,"Dilewati")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Uji'!A2:A453,"Keuangan")</f>
        <v/>
      </c>
      <c r="C16" s="5">
        <f>COUNTIFS('Kasus Uji'!A2:A453,"Keuangan",'Kasus Uji'!G2:G453,"Lulus")</f>
        <v/>
      </c>
      <c r="D16" s="5">
        <f>COUNTIFS('Kasus Uji'!A2:A453,"Keuangan",'Kasus Uji'!G2:G453,"Gagal")</f>
        <v/>
      </c>
      <c r="E16" s="5">
        <f>COUNTIFS('Kasus Uji'!A2:A453,"Keuangan",'Kasus Uji'!G2:G453,"Terblokir")</f>
        <v/>
      </c>
      <c r="F16" s="5">
        <f>COUNTIFS('Kasus Uji'!A2:A453,"Keuangan",'Kasus Uji'!G2:G453,"Dilewati")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Uji'!A2:A453,"Setor Saldo Cash")</f>
        <v/>
      </c>
      <c r="C17" s="5">
        <f>COUNTIFS('Kasus Uji'!A2:A453,"Setor Saldo Cash",'Kasus Uji'!G2:G453,"Lulus")</f>
        <v/>
      </c>
      <c r="D17" s="5">
        <f>COUNTIFS('Kasus Uji'!A2:A453,"Setor Saldo Cash",'Kasus Uji'!G2:G453,"Gagal")</f>
        <v/>
      </c>
      <c r="E17" s="5">
        <f>COUNTIFS('Kasus Uji'!A2:A453,"Setor Saldo Cash",'Kasus Uji'!G2:G453,"Terblokir")</f>
        <v/>
      </c>
      <c r="F17" s="5">
        <f>COUNTIFS('Kasus Uji'!A2:A453,"Setor Saldo Cash",'Kasus Uji'!G2:G453,"Dilewati")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Uji'!A2:A453,"Katalog &amp; Pengaturan")</f>
        <v/>
      </c>
      <c r="C18" s="5">
        <f>COUNTIFS('Kasus Uji'!A2:A453,"Katalog &amp; Pengaturan",'Kasus Uji'!G2:G453,"Lulus")</f>
        <v/>
      </c>
      <c r="D18" s="5">
        <f>COUNTIFS('Kasus Uji'!A2:A453,"Katalog &amp; Pengaturan",'Kasus Uji'!G2:G453,"Gagal")</f>
        <v/>
      </c>
      <c r="E18" s="5">
        <f>COUNTIFS('Kasus Uji'!A2:A453,"Katalog &amp; Pengaturan",'Kasus Uji'!G2:G453,"Terblokir")</f>
        <v/>
      </c>
      <c r="F18" s="5">
        <f>COUNTIFS('Kasus Uji'!A2:A453,"Katalog &amp; Pengaturan",'Kasus Uji'!G2:G453,"Dilewati")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Uji'!A2:A453,"QR Meja")</f>
        <v/>
      </c>
      <c r="C19" s="5">
        <f>COUNTIFS('Kasus Uji'!A2:A453,"QR Meja",'Kasus Uji'!G2:G453,"Lulus")</f>
        <v/>
      </c>
      <c r="D19" s="5">
        <f>COUNTIFS('Kasus Uji'!A2:A453,"QR Meja",'Kasus Uji'!G2:G453,"Gagal")</f>
        <v/>
      </c>
      <c r="E19" s="5">
        <f>COUNTIFS('Kasus Uji'!A2:A453,"QR Meja",'Kasus Uji'!G2:G453,"Terblokir")</f>
        <v/>
      </c>
      <c r="F19" s="5">
        <f>COUNTIFS('Kasus Uji'!A2:A453,"QR Meja",'Kasus Uji'!G2:G453,"Dilewati")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Uji'!A2:A453,"Diskon")</f>
        <v/>
      </c>
      <c r="C20" s="5">
        <f>COUNTIFS('Kasus Uji'!A2:A453,"Diskon",'Kasus Uji'!G2:G453,"Lulus")</f>
        <v/>
      </c>
      <c r="D20" s="5">
        <f>COUNTIFS('Kasus Uji'!A2:A453,"Diskon",'Kasus Uji'!G2:G453,"Gagal")</f>
        <v/>
      </c>
      <c r="E20" s="5">
        <f>COUNTIFS('Kasus Uji'!A2:A453,"Diskon",'Kasus Uji'!G2:G453,"Terblokir")</f>
        <v/>
      </c>
      <c r="F20" s="5">
        <f>COUNTIFS('Kasus Uji'!A2:A453,"Diskon",'Kasus Uji'!G2:G453,"Dilewati")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Uji'!A2:A453,"Kotak Masuk &amp; Pengumuman")</f>
        <v/>
      </c>
      <c r="C21" s="5">
        <f>COUNTIFS('Kasus Uji'!A2:A453,"Kotak Masuk &amp; Pengumuman",'Kasus Uji'!G2:G453,"Lulus")</f>
        <v/>
      </c>
      <c r="D21" s="5">
        <f>COUNTIFS('Kasus Uji'!A2:A453,"Kotak Masuk &amp; Pengumuman",'Kasus Uji'!G2:G453,"Gagal")</f>
        <v/>
      </c>
      <c r="E21" s="5">
        <f>COUNTIFS('Kasus Uji'!A2:A453,"Kotak Masuk &amp; Pengumuman",'Kasus Uji'!G2:G453,"Terblokir")</f>
        <v/>
      </c>
      <c r="F21" s="5">
        <f>COUNTIFS('Kasus Uji'!A2:A453,"Kotak Masuk &amp; Pengumuman",'Kasus Uji'!G2:G453,"Dilewati")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Uji'!A2:A453,"Pembayaran QRIS")</f>
        <v/>
      </c>
      <c r="C22" s="5">
        <f>COUNTIFS('Kasus Uji'!A2:A453,"Pembayaran QRIS",'Kasus Uji'!G2:G453,"Lulus")</f>
        <v/>
      </c>
      <c r="D22" s="5">
        <f>COUNTIFS('Kasus Uji'!A2:A453,"Pembayaran QRIS",'Kasus Uji'!G2:G453,"Gagal")</f>
        <v/>
      </c>
      <c r="E22" s="5">
        <f>COUNTIFS('Kasus Uji'!A2:A453,"Pembayaran QRIS",'Kasus Uji'!G2:G453,"Terblokir")</f>
        <v/>
      </c>
      <c r="F22" s="5">
        <f>COUNTIFS('Kasus Uji'!A2:A453,"Pembayaran QRIS",'Kasus Uji'!G2:G453,"Dilewati")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Uji'!A2:A453,"Pembatalan &amp; Kedaluwarsa")</f>
        <v/>
      </c>
      <c r="C23" s="5">
        <f>COUNTIFS('Kasus Uji'!A2:A453,"Pembatalan &amp; Kedaluwarsa",'Kasus Uji'!G2:G453,"Lulus")</f>
        <v/>
      </c>
      <c r="D23" s="5">
        <f>COUNTIFS('Kasus Uji'!A2:A453,"Pembatalan &amp; Kedaluwarsa",'Kasus Uji'!G2:G453,"Gagal")</f>
        <v/>
      </c>
      <c r="E23" s="5">
        <f>COUNTIFS('Kasus Uji'!A2:A453,"Pembatalan &amp; Kedaluwarsa",'Kasus Uji'!G2:G453,"Terblokir")</f>
        <v/>
      </c>
      <c r="F23" s="5">
        <f>COUNTIFS('Kasus Uji'!A2:A453,"Pembatalan &amp; Kedaluwarsa",'Kasus Uji'!G2:G453,"Dilewati")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Uji'!A2:A453,"Sesi Meja &amp; Identitas")</f>
        <v/>
      </c>
      <c r="C24" s="5">
        <f>COUNTIFS('Kasus Uji'!A2:A453,"Sesi Meja &amp; Identitas",'Kasus Uji'!G2:G453,"Lulus")</f>
        <v/>
      </c>
      <c r="D24" s="5">
        <f>COUNTIFS('Kasus Uji'!A2:A453,"Sesi Meja &amp; Identitas",'Kasus Uji'!G2:G453,"Gagal")</f>
        <v/>
      </c>
      <c r="E24" s="5">
        <f>COUNTIFS('Kasus Uji'!A2:A453,"Sesi Meja &amp; Identitas",'Kasus Uji'!G2:G453,"Terblokir")</f>
        <v/>
      </c>
      <c r="F24" s="5">
        <f>COUNTIFS('Kasus Uji'!A2:A453,"Sesi Meja &amp; Identitas",'Kasus Uji'!G2:G453,"Dilewati")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Uji'!A2:A453,"Tampilan")</f>
        <v/>
      </c>
      <c r="C25" s="5">
        <f>COUNTIFS('Kasus Uji'!A2:A453,"Tampilan",'Kasus Uji'!G2:G453,"Lulus")</f>
        <v/>
      </c>
      <c r="D25" s="5">
        <f>COUNTIFS('Kasus Uji'!A2:A453,"Tampilan",'Kasus Uji'!G2:G453,"Gagal")</f>
        <v/>
      </c>
      <c r="E25" s="5">
        <f>COUNTIFS('Kasus Uji'!A2:A453,"Tampilan",'Kasus Uji'!G2:G453,"Terblokir")</f>
        <v/>
      </c>
      <c r="F25" s="5">
        <f>COUNTIFS('Kasus Uji'!A2:A453,"Tampilan",'Kasus Uji'!G2:G453,"Dilewati")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Uji'!A2:A453,"Super Admin")</f>
        <v/>
      </c>
      <c r="C26" s="5">
        <f>COUNTIFS('Kasus Uji'!A2:A453,"Super Admin",'Kasus Uji'!G2:G453,"Lulus")</f>
        <v/>
      </c>
      <c r="D26" s="5">
        <f>COUNTIFS('Kasus Uji'!A2:A453,"Super Admin",'Kasus Uji'!G2:G453,"Gagal")</f>
        <v/>
      </c>
      <c r="E26" s="5">
        <f>COUNTIFS('Kasus Uji'!A2:A453,"Super Admin",'Kasus Uji'!G2:G453,"Terblokir")</f>
        <v/>
      </c>
      <c r="F26" s="5">
        <f>COUNTIFS('Kasus Uji'!A2:A453,"Super Admin",'Kasus Uji'!G2:G453,"Dilewati")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Uji'!A2:A453,"Pembaruan Aplikasi")</f>
        <v/>
      </c>
      <c r="C27" s="5">
        <f>COUNTIFS('Kasus Uji'!A2:A453,"Pembaruan Aplikasi",'Kasus Uji'!G2:G453,"Lulus")</f>
        <v/>
      </c>
      <c r="D27" s="5">
        <f>COUNTIFS('Kasus Uji'!A2:A453,"Pembaruan Aplikasi",'Kasus Uji'!G2:G453,"Gagal")</f>
        <v/>
      </c>
      <c r="E27" s="5">
        <f>COUNTIFS('Kasus Uji'!A2:A453,"Pembaruan Aplikasi",'Kasus Uji'!G2:G453,"Terblokir")</f>
        <v/>
      </c>
      <c r="F27" s="5">
        <f>COUNTIFS('Kasus Uji'!A2:A453,"Pembaruan Aplikasi",'Kasus Uji'!G2:G453,"Dilewati")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Uji'!A2:A453,"## 19b. Langganan &amp; Tagihan Resto")</f>
        <v/>
      </c>
      <c r="C28" s="5">
        <f>COUNTIFS('Kasus Uji'!A2:A453,"## 19b. Langganan &amp; Tagihan Resto",'Kasus Uji'!G2:G453,"Lulus")</f>
        <v/>
      </c>
      <c r="D28" s="5">
        <f>COUNTIFS('Kasus Uji'!A2:A453,"## 19b. Langganan &amp; Tagihan Resto",'Kasus Uji'!G2:G453,"Gagal")</f>
        <v/>
      </c>
      <c r="E28" s="5">
        <f>COUNTIFS('Kasus Uji'!A2:A453,"## 19b. Langganan &amp; Tagihan Resto",'Kasus Uji'!G2:G453,"Terblokir")</f>
        <v/>
      </c>
      <c r="F28" s="5">
        <f>COUNTIFS('Kasus Uji'!A2:A453,"## 19b. Langganan &amp; Tagihan Resto",'Kasus Uji'!G2:G453,"Dilewati")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Uji'!A2:A453,"## 19c. Finance KaataGo (Super Admin)")</f>
        <v/>
      </c>
      <c r="C29" s="5">
        <f>COUNTIFS('Kasus Uji'!A2:A453,"## 19c. Finance KaataGo (Super Admin)",'Kasus Uji'!G2:G453,"Lulus")</f>
        <v/>
      </c>
      <c r="D29" s="5">
        <f>COUNTIFS('Kasus Uji'!A2:A453,"## 19c. Finance KaataGo (Super Admin)",'Kasus Uji'!G2:G453,"Gagal")</f>
        <v/>
      </c>
      <c r="E29" s="5">
        <f>COUNTIFS('Kasus Uji'!A2:A453,"## 19c. Finance KaataGo (Super Admin)",'Kasus Uji'!G2:G453,"Terblokir")</f>
        <v/>
      </c>
      <c r="F29" s="5">
        <f>COUNTIFS('Kasus Uji'!A2:A453,"## 19c. Finance KaataGo (Super Admin)",'Kasus Uji'!G2:G453,"Dilewati")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Uji'!A2:A453,"## 19d. Voucher Pelanggan")</f>
        <v/>
      </c>
      <c r="C30" s="5">
        <f>COUNTIFS('Kasus Uji'!A2:A453,"## 19d. Voucher Pelanggan",'Kasus Uji'!G2:G453,"Lulus")</f>
        <v/>
      </c>
      <c r="D30" s="5">
        <f>COUNTIFS('Kasus Uji'!A2:A453,"## 19d. Voucher Pelanggan",'Kasus Uji'!G2:G453,"Gagal")</f>
        <v/>
      </c>
      <c r="E30" s="5">
        <f>COUNTIFS('Kasus Uji'!A2:A453,"## 19d. Voucher Pelanggan",'Kasus Uji'!G2:G453,"Terblokir")</f>
        <v/>
      </c>
      <c r="F30" s="5">
        <f>COUNTIFS('Kasus Uji'!A2:A453,"## 19d. Voucher Pelanggan",'Kasus Uji'!G2:G453,"Dilewati")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Uji'!A2:A453,"## 19e. Analisa Pasar")</f>
        <v/>
      </c>
      <c r="C31" s="5">
        <f>COUNTIFS('Kasus Uji'!A2:A453,"## 19e. Analisa Pasar",'Kasus Uji'!G2:G453,"Lulus")</f>
        <v/>
      </c>
      <c r="D31" s="5">
        <f>COUNTIFS('Kasus Uji'!A2:A453,"## 19e. Analisa Pasar",'Kasus Uji'!G2:G453,"Gagal")</f>
        <v/>
      </c>
      <c r="E31" s="5">
        <f>COUNTIFS('Kasus Uji'!A2:A453,"## 19e. Analisa Pasar",'Kasus Uji'!G2:G453,"Terblokir")</f>
        <v/>
      </c>
      <c r="F31" s="5">
        <f>COUNTIFS('Kasus Uji'!A2:A453,"## 19e. Analisa Pasar",'Kasus Uji'!G2:G453,"Dilewati")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Uji'!A2:A453,"Uji Teknis (lingkup TSD)")</f>
        <v/>
      </c>
      <c r="C32" s="5">
        <f>COUNTIFS('Kasus Uji'!A2:A453,"Uji Teknis (lingkup TSD)",'Kasus Uji'!G2:G453,"Lulus")</f>
        <v/>
      </c>
      <c r="D32" s="5">
        <f>COUNTIFS('Kasus Uji'!A2:A453,"Uji Teknis (lingkup TSD)",'Kasus Uji'!G2:G453,"Gagal")</f>
        <v/>
      </c>
      <c r="E32" s="5">
        <f>COUNTIFS('Kasus Uji'!A2:A453,"Uji Teknis (lingkup TSD)",'Kasus Uji'!G2:G453,"Terblokir")</f>
        <v/>
      </c>
      <c r="F32" s="5">
        <f>COUNTIFS('Kasus Uji'!A2:A453,"Uji Teknis (lingkup TSD)",'Kasus Uji'!G2:G453,"Dilewati")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Uji'!A2:A453,"Regresi — bug yang pernah terjadi")</f>
        <v/>
      </c>
      <c r="C33" s="5">
        <f>COUNTIFS('Kasus Uji'!A2:A453,"Regresi — bug yang pernah terjadi",'Kasus Uji'!G2:G453,"Lulus")</f>
        <v/>
      </c>
      <c r="D33" s="5">
        <f>COUNTIFS('Kasus Uji'!A2:A453,"Regresi — bug yang pernah terjadi",'Kasus Uji'!G2:G453,"Gagal")</f>
        <v/>
      </c>
      <c r="E33" s="5">
        <f>COUNTIFS('Kasus Uji'!A2:A453,"Regresi — bug yang pernah terjadi",'Kasus Uji'!G2:G453,"Terblokir")</f>
        <v/>
      </c>
      <c r="F33" s="5">
        <f>COUNTIFS('Kasus Uji'!A2:A453,"Regresi — bug yang pernah terjadi",'Kasus Uji'!G2:G453,"Dilewati")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Uji'!A2:A453,"Uji Ujung-ke-Ujung")</f>
        <v/>
      </c>
      <c r="C34" s="5">
        <f>COUNTIFS('Kasus Uji'!A2:A453,"Uji Ujung-ke-Ujung",'Kasus Uji'!G2:G453,"Lulus")</f>
        <v/>
      </c>
      <c r="D34" s="5">
        <f>COUNTIFS('Kasus Uji'!A2:A453,"Uji Ujung-ke-Ujung",'Kasus Uji'!G2:G453,"Gagal")</f>
        <v/>
      </c>
      <c r="E34" s="5">
        <f>COUNTIFS('Kasus Uji'!A2:A453,"Uji Ujung-ke-Ujung",'Kasus Uji'!G2:G453,"Terblokir")</f>
        <v/>
      </c>
      <c r="F34" s="5">
        <f>COUNTIFS('Kasus Uji'!A2:A453,"Uji Ujung-ke-Ujung",'Kasus Uji'!G2:G453,"Dilewati")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19d. Voucher Pelanggan</t>
        </is>
      </c>
      <c r="B331" s="17" t="inlineStr">
        <is>
          <t>TC-VC-01</t>
        </is>
      </c>
      <c r="C331" s="18" t="inlineStr">
        <is>
          <t>P1</t>
        </is>
      </c>
      <c r="D331" s="16" t="inlineStr">
        <is>
          <t>Super Admin → Voucher → terbitkan Rp 1.000.000 jadi 10</t>
        </is>
      </c>
      <c r="E331" s="16" t="inlineStr">
        <is>
          <t>10 voucher @Rp 100.000; nominalnya tampil hidup di formulir</t>
        </is>
      </c>
      <c r="F331" s="16" t="inlineStr">
        <is>
          <t>F-VC-01, F-VC-02</t>
        </is>
      </c>
      <c r="G331" s="16" t="inlineStr"/>
      <c r="H331" s="16" t="inlineStr"/>
      <c r="I331" s="16" t="inlineStr"/>
    </row>
    <row r="332">
      <c r="A332" s="13" t="inlineStr">
        <is>
          <t>## 19d. Voucher Pelanggan</t>
        </is>
      </c>
      <c r="B332" s="14" t="inlineStr">
        <is>
          <t>TC-VC-02</t>
        </is>
      </c>
      <c r="C332" s="15" t="inlineStr">
        <is>
          <t>P1</t>
        </is>
      </c>
      <c r="D332" s="13" t="inlineStr">
        <is>
          <t>Terbitkan Rp 1.000.000 jadi 3</t>
        </is>
      </c>
      <c r="E332" s="13" t="inlineStr">
        <is>
          <t>@Rp 333.333, sisa Rp 1 disebutkan dan tidak ikut dijurnal</t>
        </is>
      </c>
      <c r="F332" s="13" t="inlineStr">
        <is>
          <t>F-VC-02</t>
        </is>
      </c>
      <c r="G332" s="13" t="inlineStr"/>
      <c r="H332" s="13" t="inlineStr"/>
      <c r="I332" s="13" t="inlineStr"/>
    </row>
    <row r="333">
      <c r="A333" s="16" t="inlineStr">
        <is>
          <t>## 19d. Voucher Pelanggan</t>
        </is>
      </c>
      <c r="B333" s="17" t="inlineStr">
        <is>
          <t>TC-VC-03</t>
        </is>
      </c>
      <c r="C333" s="20" t="inlineStr">
        <is>
          <t>P2</t>
        </is>
      </c>
      <c r="D333" s="16" t="inlineStr">
        <is>
          <t>Terbitkan dengan kode yang sudah dipakai</t>
        </is>
      </c>
      <c r="E333" s="16" t="inlineStr">
        <is>
          <t>Ditolak — kodenya sudah ada</t>
        </is>
      </c>
      <c r="F333" s="16" t="inlineStr">
        <is>
          <t>F-VC-01</t>
        </is>
      </c>
      <c r="G333" s="16" t="inlineStr"/>
      <c r="H333" s="16" t="inlineStr"/>
      <c r="I333" s="16" t="inlineStr"/>
    </row>
    <row r="334">
      <c r="A334" s="13" t="inlineStr">
        <is>
          <t>## 19d. Voucher Pelanggan</t>
        </is>
      </c>
      <c r="B334" s="14" t="inlineStr">
        <is>
          <t>TC-VC-04</t>
        </is>
      </c>
      <c r="C334" s="15" t="inlineStr">
        <is>
          <t>P1</t>
        </is>
      </c>
      <c r="D334" s="13" t="inlineStr">
        <is>
          <t>Periksa Jurnal GL KaataGo sesudah terbit</t>
        </is>
      </c>
      <c r="E334" s="13" t="inlineStr">
        <is>
          <t>Debit Total Saldo 1100040, kredit Voucher 1100073</t>
        </is>
      </c>
      <c r="F334" s="13" t="inlineStr">
        <is>
          <t>F-VC-13</t>
        </is>
      </c>
      <c r="G334" s="13" t="inlineStr"/>
      <c r="H334" s="13" t="inlineStr"/>
      <c r="I334" s="13" t="inlineStr"/>
    </row>
    <row r="335">
      <c r="A335" s="16" t="inlineStr">
        <is>
          <t>## 19d. Voucher Pelanggan</t>
        </is>
      </c>
      <c r="B335" s="17" t="inlineStr">
        <is>
          <t>TC-VC-05</t>
        </is>
      </c>
      <c r="C335" s="18" t="inlineStr">
        <is>
          <t>P1</t>
        </is>
      </c>
      <c r="D335" s="16" t="inlineStr">
        <is>
          <t>Pelanggan menebus kode di Voucher Saya</t>
        </is>
      </c>
      <c r="E335" s="16" t="inlineStr">
        <is>
          <t>Berhasil; voucher masuk daftar "Siap Dipakai"</t>
        </is>
      </c>
      <c r="F335" s="16" t="inlineStr">
        <is>
          <t>F-VC-07</t>
        </is>
      </c>
      <c r="G335" s="16" t="inlineStr"/>
      <c r="H335" s="16" t="inlineStr"/>
      <c r="I335" s="16" t="inlineStr"/>
    </row>
    <row r="336">
      <c r="A336" s="13" t="inlineStr">
        <is>
          <t>## 19d. Voucher Pelanggan</t>
        </is>
      </c>
      <c r="B336" s="14" t="inlineStr">
        <is>
          <t>TC-VC-06</t>
        </is>
      </c>
      <c r="C336" s="19" t="inlineStr">
        <is>
          <t>P2</t>
        </is>
      </c>
      <c r="D336" s="13" t="inlineStr">
        <is>
          <t>Ketik kodenya dengan huruf kecil</t>
        </is>
      </c>
      <c r="E336" s="13" t="inlineStr">
        <is>
          <t>Tetap diterima</t>
        </is>
      </c>
      <c r="F336" s="13" t="inlineStr">
        <is>
          <t>F-VC-07</t>
        </is>
      </c>
      <c r="G336" s="13" t="inlineStr"/>
      <c r="H336" s="13" t="inlineStr"/>
      <c r="I336" s="13" t="inlineStr"/>
    </row>
    <row r="337">
      <c r="A337" s="16" t="inlineStr">
        <is>
          <t>## 19d. Voucher Pelanggan</t>
        </is>
      </c>
      <c r="B337" s="17" t="inlineStr">
        <is>
          <t>TC-VC-07</t>
        </is>
      </c>
      <c r="C337" s="20" t="inlineStr">
        <is>
          <t>P2</t>
        </is>
      </c>
      <c r="D337" s="16" t="inlineStr">
        <is>
          <t>Ketik kode yang tidak ada</t>
        </is>
      </c>
      <c r="E337" s="16" t="inlineStr">
        <is>
          <t>"Kode voucher tidak ditemukan"</t>
        </is>
      </c>
      <c r="F337" s="16" t="inlineStr">
        <is>
          <t>F-VC-10</t>
        </is>
      </c>
      <c r="G337" s="16" t="inlineStr"/>
      <c r="H337" s="16" t="inlineStr"/>
      <c r="I337" s="16" t="inlineStr"/>
    </row>
    <row r="338">
      <c r="A338" s="13" t="inlineStr">
        <is>
          <t>## 19d. Voucher Pelanggan</t>
        </is>
      </c>
      <c r="B338" s="14" t="inlineStr">
        <is>
          <t>TC-VC-08</t>
        </is>
      </c>
      <c r="C338" s="15" t="inlineStr">
        <is>
          <t>P1</t>
        </is>
      </c>
      <c r="D338" s="13" t="inlineStr">
        <is>
          <t>Periksa Jurnal GL KaataGo sesudah ditebus</t>
        </is>
      </c>
      <c r="E338" s="13" t="inlineStr">
        <is>
          <t>Debit Voucher, kredit Voucher Redeem 1100074</t>
        </is>
      </c>
      <c r="F338" s="13" t="inlineStr">
        <is>
          <t>F-VC-13</t>
        </is>
      </c>
      <c r="G338" s="13" t="inlineStr"/>
      <c r="H338" s="13" t="inlineStr"/>
      <c r="I338" s="13" t="inlineStr"/>
    </row>
    <row r="339">
      <c r="A339" s="16" t="inlineStr">
        <is>
          <t>## 19d. Voucher Pelanggan</t>
        </is>
      </c>
      <c r="B339" s="17" t="inlineStr">
        <is>
          <t>TC-VC-09</t>
        </is>
      </c>
      <c r="C339" s="18" t="inlineStr">
        <is>
          <t>P1</t>
        </is>
      </c>
      <c r="D339" s="16" t="inlineStr">
        <is>
          <t>Orang yang sama menebus kode itu lagi</t>
        </is>
      </c>
      <c r="E339" s="16" t="inlineStr">
        <is>
          <t>Ditolak — "Voucher ini sudah kamu tebus"</t>
        </is>
      </c>
      <c r="F339" s="16" t="inlineStr">
        <is>
          <t>F-VC-08, F-VC-10</t>
        </is>
      </c>
      <c r="G339" s="16" t="inlineStr"/>
      <c r="H339" s="16" t="inlineStr"/>
      <c r="I339" s="16" t="inlineStr"/>
    </row>
    <row r="340">
      <c r="A340" s="13" t="inlineStr">
        <is>
          <t>## 19d. Voucher Pelanggan</t>
        </is>
      </c>
      <c r="B340" s="14" t="inlineStr">
        <is>
          <t>TC-VC-10</t>
        </is>
      </c>
      <c r="C340" s="15" t="inlineStr">
        <is>
          <t>P1</t>
        </is>
      </c>
      <c r="D340" s="13" t="inlineStr">
        <is>
          <t>Batch berisi 10, orang ke-11 menebus</t>
        </is>
      </c>
      <c r="E340" s="13" t="inlineStr">
        <is>
          <t>Ditolak — "Voucher ini sudah habis"</t>
        </is>
      </c>
      <c r="F340" s="13" t="inlineStr">
        <is>
          <t>F-VC-09, F-VC-10</t>
        </is>
      </c>
      <c r="G340" s="13" t="inlineStr"/>
      <c r="H340" s="13" t="inlineStr"/>
      <c r="I340" s="13" t="inlineStr"/>
    </row>
    <row r="341">
      <c r="A341" s="16" t="inlineStr">
        <is>
          <t>## 19d. Voucher Pelanggan</t>
        </is>
      </c>
      <c r="B341" s="17" t="inlineStr">
        <is>
          <t>TC-VC-11</t>
        </is>
      </c>
      <c r="C341" s="18" t="inlineStr">
        <is>
          <t>P1</t>
        </is>
      </c>
      <c r="D341" s="16" t="inlineStr">
        <is>
          <t>Dua orang menebus voucher terakhir bersamaan</t>
        </is>
      </c>
      <c r="E341" s="16" t="inlineStr">
        <is>
          <t>Hanya satu lolos; yang lain ditolak kuota habis</t>
        </is>
      </c>
      <c r="F341" s="16" t="inlineStr">
        <is>
          <t>F-VC-09</t>
        </is>
      </c>
      <c r="G341" s="16" t="inlineStr"/>
      <c r="H341" s="16" t="inlineStr"/>
      <c r="I341" s="16" t="inlineStr"/>
    </row>
    <row r="342">
      <c r="A342" s="13" t="inlineStr">
        <is>
          <t>## 19d. Voucher Pelanggan</t>
        </is>
      </c>
      <c r="B342" s="14" t="inlineStr">
        <is>
          <t>TC-VC-12</t>
        </is>
      </c>
      <c r="C342" s="19" t="inlineStr">
        <is>
          <t>P2</t>
        </is>
      </c>
      <c r="D342" s="13" t="inlineStr">
        <is>
          <t>Tebus voucher dari batch yang sudah ditutup</t>
        </is>
      </c>
      <c r="E342" s="13" t="inlineStr">
        <is>
          <t>"Voucher ini sudah ditutup"</t>
        </is>
      </c>
      <c r="F342" s="13" t="inlineStr">
        <is>
          <t>F-VC-04, F-VC-10</t>
        </is>
      </c>
      <c r="G342" s="13" t="inlineStr"/>
      <c r="H342" s="13" t="inlineStr"/>
      <c r="I342" s="13" t="inlineStr"/>
    </row>
    <row r="343">
      <c r="A343" s="16" t="inlineStr">
        <is>
          <t>## 19d. Voucher Pelanggan</t>
        </is>
      </c>
      <c r="B343" s="17" t="inlineStr">
        <is>
          <t>TC-VC-13</t>
        </is>
      </c>
      <c r="C343" s="20" t="inlineStr">
        <is>
          <t>P2</t>
        </is>
      </c>
      <c r="D343" s="16" t="inlineStr">
        <is>
          <t>Tebus voucher yang lewat masa berlaku</t>
        </is>
      </c>
      <c r="E343" s="16" t="inlineStr">
        <is>
          <t>"Voucher ini sudah kedaluwarsa"</t>
        </is>
      </c>
      <c r="F343" s="16" t="inlineStr">
        <is>
          <t>F-VC-04, F-VC-10</t>
        </is>
      </c>
      <c r="G343" s="16" t="inlineStr"/>
      <c r="H343" s="16" t="inlineStr"/>
      <c r="I343" s="16" t="inlineStr"/>
    </row>
    <row r="344">
      <c r="A344" s="13" t="inlineStr">
        <is>
          <t>## 19d. Voucher Pelanggan</t>
        </is>
      </c>
      <c r="B344" s="14" t="inlineStr">
        <is>
          <t>TC-VC-14</t>
        </is>
      </c>
      <c r="C344" s="15" t="inlineStr">
        <is>
          <t>P1</t>
        </is>
      </c>
      <c r="D344" s="13" t="inlineStr">
        <is>
          <t>Di keranjang, ketuk baris voucher</t>
        </is>
      </c>
      <c r="E344" s="13" t="inlineStr">
        <is>
          <t>Muncul pilihan voucher miliknya, bukan kolom ketik kode</t>
        </is>
      </c>
      <c r="F344" s="13" t="inlineStr">
        <is>
          <t>F-VC-11</t>
        </is>
      </c>
      <c r="G344" s="13" t="inlineStr"/>
      <c r="H344" s="13" t="inlineStr"/>
      <c r="I344" s="13" t="inlineStr"/>
    </row>
    <row r="345">
      <c r="A345" s="16" t="inlineStr">
        <is>
          <t>## 19d. Voucher Pelanggan</t>
        </is>
      </c>
      <c r="B345" s="17" t="inlineStr">
        <is>
          <t>TC-VC-15</t>
        </is>
      </c>
      <c r="C345" s="18" t="inlineStr">
        <is>
          <t>P1</t>
        </is>
      </c>
      <c r="D345" s="16" t="inlineStr">
        <is>
          <t>Voucher min belanja Rp 50.000, tagihan Rp 30.000</t>
        </is>
      </c>
      <c r="E345" s="16" t="inlineStr">
        <is>
          <t>Tidak bisa dipilih, disertai "Belanja belum mencapai minimum"</t>
        </is>
      </c>
      <c r="F345" s="16" t="inlineStr">
        <is>
          <t>F-VC-05, F-VC-10</t>
        </is>
      </c>
      <c r="G345" s="16" t="inlineStr"/>
      <c r="H345" s="16" t="inlineStr"/>
      <c r="I345" s="16" t="inlineStr"/>
    </row>
    <row r="346">
      <c r="A346" s="13" t="inlineStr">
        <is>
          <t>## 19d. Voucher Pelanggan</t>
        </is>
      </c>
      <c r="B346" s="14" t="inlineStr">
        <is>
          <t>TC-VC-16</t>
        </is>
      </c>
      <c r="C346" s="15" t="inlineStr">
        <is>
          <t>P1</t>
        </is>
      </c>
      <c r="D346" s="13" t="inlineStr">
        <is>
          <t>Voucher khusus resto A dibuka di resto B</t>
        </is>
      </c>
      <c r="E346" s="13" t="inlineStr">
        <is>
          <t>Tidak bisa dipilih — "Tidak berlaku di resto ini"</t>
        </is>
      </c>
      <c r="F346" s="13" t="inlineStr">
        <is>
          <t>F-VC-06, F-VC-10</t>
        </is>
      </c>
      <c r="G346" s="13" t="inlineStr"/>
      <c r="H346" s="13" t="inlineStr"/>
      <c r="I346" s="13" t="inlineStr"/>
    </row>
    <row r="347">
      <c r="A347" s="16" t="inlineStr">
        <is>
          <t>## 19d. Voucher Pelanggan</t>
        </is>
      </c>
      <c r="B347" s="17" t="inlineStr">
        <is>
          <t>TC-VC-17</t>
        </is>
      </c>
      <c r="C347" s="18" t="inlineStr">
        <is>
          <t>P1</t>
        </is>
      </c>
      <c r="D347" s="16" t="inlineStr">
        <is>
          <t>Voucher Rp 100.000 pada tagihan Rp 60.000</t>
        </is>
      </c>
      <c r="E347" s="16" t="inlineStr">
        <is>
          <t>Yang dibayar Rp 0; sisa Rp 40.000 tidak dikembalikan</t>
        </is>
      </c>
      <c r="F347" s="16" t="inlineStr">
        <is>
          <t>F-VC-12</t>
        </is>
      </c>
      <c r="G347" s="16" t="inlineStr"/>
      <c r="H347" s="16" t="inlineStr"/>
      <c r="I347" s="16" t="inlineStr"/>
    </row>
    <row r="348">
      <c r="A348" s="13" t="inlineStr">
        <is>
          <t>## 19d. Voucher Pelanggan</t>
        </is>
      </c>
      <c r="B348" s="14" t="inlineStr">
        <is>
          <t>TC-VC-18</t>
        </is>
      </c>
      <c r="C348" s="15" t="inlineStr">
        <is>
          <t>P1</t>
        </is>
      </c>
      <c r="D348" s="13" t="inlineStr">
        <is>
          <t>Pasang voucher lalu selesaikan pesanan</t>
        </is>
      </c>
      <c r="E348" s="13" t="inlineStr">
        <is>
          <t>Yang dibayar sudah dipotong; nominal QRIS-nya juga</t>
        </is>
      </c>
      <c r="F348" s="13" t="inlineStr">
        <is>
          <t>F-VC-11</t>
        </is>
      </c>
      <c r="G348" s="13" t="inlineStr"/>
      <c r="H348" s="13" t="inlineStr"/>
      <c r="I348" s="13" t="inlineStr"/>
    </row>
    <row r="349">
      <c r="A349" s="16" t="inlineStr">
        <is>
          <t>## 19d. Voucher Pelanggan</t>
        </is>
      </c>
      <c r="B349" s="17" t="inlineStr">
        <is>
          <t>TC-VC-19</t>
        </is>
      </c>
      <c r="C349" s="18" t="inlineStr">
        <is>
          <t>P1</t>
        </is>
      </c>
      <c r="D349" s="16" t="inlineStr">
        <is>
          <t>Ketuk Lepas setelah voucher terpasang</t>
        </is>
      </c>
      <c r="E349" s="16" t="inlineStr">
        <is>
          <t>Tagihan kembali ke nominal semula</t>
        </is>
      </c>
      <c r="F349" s="16" t="inlineStr">
        <is>
          <t>F-VC-11</t>
        </is>
      </c>
      <c r="G349" s="16" t="inlineStr"/>
      <c r="H349" s="16" t="inlineStr"/>
      <c r="I349" s="16" t="inlineStr"/>
    </row>
    <row r="350">
      <c r="A350" s="13" t="inlineStr">
        <is>
          <t>## 19d. Voucher Pelanggan</t>
        </is>
      </c>
      <c r="B350" s="14" t="inlineStr">
        <is>
          <t>TC-VC-20</t>
        </is>
      </c>
      <c r="C350" s="15" t="inlineStr">
        <is>
          <t>P1</t>
        </is>
      </c>
      <c r="D350" s="13" t="inlineStr">
        <is>
          <t>Periksa Jurnal GL KaataGo sesudah dipakai</t>
        </is>
      </c>
      <c r="E350" s="13" t="inlineStr">
        <is>
          <t>Debit Voucher Redeem, kredit GL Transfer restonya</t>
        </is>
      </c>
      <c r="F350" s="13" t="inlineStr">
        <is>
          <t>F-VC-13</t>
        </is>
      </c>
      <c r="G350" s="13" t="inlineStr"/>
      <c r="H350" s="13" t="inlineStr"/>
      <c r="I350" s="13" t="inlineStr"/>
    </row>
    <row r="351">
      <c r="A351" s="16" t="inlineStr">
        <is>
          <t>## 19d. Voucher Pelanggan</t>
        </is>
      </c>
      <c r="B351" s="17" t="inlineStr">
        <is>
          <t>TC-VC-21</t>
        </is>
      </c>
      <c r="C351" s="18" t="inlineStr">
        <is>
          <t>P1</t>
        </is>
      </c>
      <c r="D351" s="16" t="inlineStr">
        <is>
          <t>Periksa Jurnal GL restonya</t>
        </is>
      </c>
      <c r="E351" s="16" t="inlineStr">
        <is>
          <t>Ada baris masuk sebesar nilai vouchernya</t>
        </is>
      </c>
      <c r="F351" s="16" t="inlineStr">
        <is>
          <t>F-VC-13</t>
        </is>
      </c>
      <c r="G351" s="16" t="inlineStr"/>
      <c r="H351" s="16" t="inlineStr"/>
      <c r="I351" s="16" t="inlineStr"/>
    </row>
    <row r="352">
      <c r="A352" s="13" t="inlineStr">
        <is>
          <t>## 19d. Voucher Pelanggan</t>
        </is>
      </c>
      <c r="B352" s="14" t="inlineStr">
        <is>
          <t>TC-VC-22</t>
        </is>
      </c>
      <c r="C352" s="19" t="inlineStr">
        <is>
          <t>P2</t>
        </is>
      </c>
      <c r="D352" s="13" t="inlineStr">
        <is>
          <t>Voucher yang sudah dipakai dibuka lagi di keranjang</t>
        </is>
      </c>
      <c r="E352" s="13" t="inlineStr">
        <is>
          <t>Tidak muncul di daftar pilihan</t>
        </is>
      </c>
      <c r="F352" s="13" t="inlineStr">
        <is>
          <t>F-VC-11</t>
        </is>
      </c>
      <c r="G352" s="13" t="inlineStr"/>
      <c r="H352" s="13" t="inlineStr"/>
      <c r="I352" s="13" t="inlineStr"/>
    </row>
    <row r="353">
      <c r="A353" s="16" t="inlineStr">
        <is>
          <t>## 19d. Voucher Pelanggan</t>
        </is>
      </c>
      <c r="B353" s="17" t="inlineStr">
        <is>
          <t>TC-VC-23</t>
        </is>
      </c>
      <c r="C353" s="18" t="inlineStr">
        <is>
          <t>P1</t>
        </is>
      </c>
      <c r="D353" s="16" t="inlineStr">
        <is>
          <t>Jalankan expire_vouchers() — ada klaim tak terpakai</t>
        </is>
      </c>
      <c r="E353" s="16" t="inlineStr">
        <is>
          <t>Debit Voucher Redeem, kredit Total Saldo</t>
        </is>
      </c>
      <c r="F353" s="16" t="inlineStr">
        <is>
          <t>F-VC-14</t>
        </is>
      </c>
      <c r="G353" s="16" t="inlineStr"/>
      <c r="H353" s="16" t="inlineStr"/>
      <c r="I353" s="16" t="inlineStr"/>
    </row>
    <row r="354">
      <c r="A354" s="13" t="inlineStr">
        <is>
          <t>## 19d. Voucher Pelanggan</t>
        </is>
      </c>
      <c r="B354" s="14" t="inlineStr">
        <is>
          <t>TC-VC-24</t>
        </is>
      </c>
      <c r="C354" s="15" t="inlineStr">
        <is>
          <t>P1</t>
        </is>
      </c>
      <c r="D354" s="13" t="inlineStr">
        <is>
          <t>Batch kedaluwarsa dengan sisa kuota tak tertebus</t>
        </is>
      </c>
      <c r="E354" s="13" t="inlineStr">
        <is>
          <t>Debit Voucher, kredit Total Saldo sebesar sisanya</t>
        </is>
      </c>
      <c r="F354" s="13" t="inlineStr">
        <is>
          <t>F-VC-14</t>
        </is>
      </c>
      <c r="G354" s="13" t="inlineStr"/>
      <c r="H354" s="13" t="inlineStr"/>
      <c r="I354" s="13" t="inlineStr"/>
    </row>
    <row r="355">
      <c r="A355" s="16" t="inlineStr">
        <is>
          <t>## 19d. Voucher Pelanggan</t>
        </is>
      </c>
      <c r="B355" s="17" t="inlineStr">
        <is>
          <t>TC-VC-25</t>
        </is>
      </c>
      <c r="C355" s="18" t="inlineStr">
        <is>
          <t>P1</t>
        </is>
      </c>
      <c r="D355" s="16" t="inlineStr">
        <is>
          <t>Jalankan expire_vouchers() dua kali</t>
        </is>
      </c>
      <c r="E355" s="16" t="inlineStr">
        <is>
          <t>Pengembaliannya sekali saja — dijaga settled_at</t>
        </is>
      </c>
      <c r="F355" s="16" t="inlineStr">
        <is>
          <t>F-VC-14</t>
        </is>
      </c>
      <c r="G355" s="16" t="inlineStr"/>
      <c r="H355" s="16" t="inlineStr"/>
      <c r="I355" s="16" t="inlineStr"/>
    </row>
    <row r="356">
      <c r="A356" s="13" t="inlineStr">
        <is>
          <t>## 19d. Voucher Pelanggan</t>
        </is>
      </c>
      <c r="B356" s="14" t="inlineStr">
        <is>
          <t>TC-VC-26</t>
        </is>
      </c>
      <c r="C356" s="15" t="inlineStr">
        <is>
          <t>P1</t>
        </is>
      </c>
      <c r="D356" s="13" t="inlineStr">
        <is>
          <t>Jumlahkan keempat tahap untuk satu batch</t>
        </is>
      </c>
      <c r="E356" s="13" t="inlineStr">
        <is>
          <t>Debit dan kreditnya seimbang; tidak ada dana yang hilang</t>
        </is>
      </c>
      <c r="F356" s="13" t="inlineStr">
        <is>
          <t>F-VC-13, F-VC-14</t>
        </is>
      </c>
      <c r="G356" s="13" t="inlineStr"/>
      <c r="H356" s="13" t="inlineStr"/>
      <c r="I356" s="13" t="inlineStr"/>
    </row>
    <row r="357">
      <c r="A357" s="16" t="inlineStr">
        <is>
          <t>## 19d. Voucher Pelanggan</t>
        </is>
      </c>
      <c r="B357" s="17" t="inlineStr">
        <is>
          <t>TC-VC-27</t>
        </is>
      </c>
      <c r="C357" s="18" t="inlineStr">
        <is>
          <t>P1</t>
        </is>
      </c>
      <c r="D357" s="16" t="inlineStr">
        <is>
          <t>Tulis langsung ke voucher_claims lewat API</t>
        </is>
      </c>
      <c r="E357" s="16" t="inlineStr">
        <is>
          <t>Ditolak RLS — tidak ada kebijakan tulis untuk siapa pun</t>
        </is>
      </c>
      <c r="F357" s="16" t="inlineStr">
        <is>
          <t>F-VC-13</t>
        </is>
      </c>
      <c r="G357" s="16" t="inlineStr"/>
      <c r="H357" s="16" t="inlineStr"/>
      <c r="I357" s="16" t="inlineStr"/>
    </row>
    <row r="358">
      <c r="A358" s="13" t="inlineStr">
        <is>
          <t>## 19d. Voucher Pelanggan</t>
        </is>
      </c>
      <c r="B358" s="14" t="inlineStr">
        <is>
          <t>TC-VC-28</t>
        </is>
      </c>
      <c r="C358" s="15" t="inlineStr">
        <is>
          <t>P1</t>
        </is>
      </c>
      <c r="D358" s="13" t="inlineStr">
        <is>
          <t>Panggil generate_voucher_batch sebagai bukan Super Admin</t>
        </is>
      </c>
      <c r="E358" s="13" t="inlineStr">
        <is>
          <t>Ditolak — "Hanya Super Admin yang dapat menerbitkan voucher"</t>
        </is>
      </c>
      <c r="F358" s="13" t="inlineStr">
        <is>
          <t>F-VC-01</t>
        </is>
      </c>
      <c r="G358" s="13" t="inlineStr"/>
      <c r="H358" s="13" t="inlineStr"/>
      <c r="I358" s="13" t="inlineStr"/>
    </row>
    <row r="359">
      <c r="A359" s="16" t="inlineStr">
        <is>
          <t>## 19d. Voucher Pelanggan</t>
        </is>
      </c>
      <c r="B359" s="17" t="inlineStr">
        <is>
          <t>TC-VC-29</t>
        </is>
      </c>
      <c r="C359" s="20" t="inlineStr">
        <is>
          <t>P2</t>
        </is>
      </c>
      <c r="D359" s="16" t="inlineStr">
        <is>
          <t>Periksa kartu batch di layar Super Admin</t>
        </is>
      </c>
      <c r="E359" s="16" t="inlineStr">
        <is>
          <t>Sisa kuota dan nilai menggantung cocok dengan penebusnya</t>
        </is>
      </c>
      <c r="F359" s="16" t="inlineStr">
        <is>
          <t>F-VC-15</t>
        </is>
      </c>
      <c r="G359" s="16" t="inlineStr"/>
      <c r="H359" s="16" t="inlineStr"/>
      <c r="I359" s="16" t="inlineStr"/>
    </row>
    <row r="360">
      <c r="A360" s="13" t="inlineStr">
        <is>
          <t>## 19d. Voucher Pelanggan</t>
        </is>
      </c>
      <c r="B360" s="14" t="inlineStr">
        <is>
          <t>TC-VC-30</t>
        </is>
      </c>
      <c r="C360" s="19" t="inlineStr">
        <is>
          <t>P2</t>
        </is>
      </c>
      <c r="D360" s="13" t="inlineStr">
        <is>
          <t>Tutup sebuah batch yang kuotanya masih ada</t>
        </is>
      </c>
      <c r="E360" s="13" t="inlineStr">
        <is>
          <t>Tidak bisa ditebus lagi; yang sudah ditebus tetap bisa dipakai</t>
        </is>
      </c>
      <c r="F360" s="13" t="inlineStr">
        <is>
          <t>F-VC-04</t>
        </is>
      </c>
      <c r="G360" s="13" t="inlineStr"/>
      <c r="H360" s="13" t="inlineStr"/>
      <c r="I360" s="13" t="inlineStr"/>
    </row>
    <row r="361">
      <c r="A361" s="16" t="inlineStr">
        <is>
          <t>## 19d. Voucher Pelanggan</t>
        </is>
      </c>
      <c r="B361" s="17" t="inlineStr">
        <is>
          <t>TC-VC-31</t>
        </is>
      </c>
      <c r="C361" s="18" t="inlineStr">
        <is>
          <t>P1</t>
        </is>
      </c>
      <c r="D361" s="16" t="inlineStr">
        <is>
          <t>Pakai voucher, lalu periksa tabel voucher_payouts</t>
        </is>
      </c>
      <c r="E361" s="16" t="inlineStr">
        <is>
          <t>Muncul satu baris pending sebesar nilai vouchernya</t>
        </is>
      </c>
      <c r="F361" s="16" t="inlineStr">
        <is>
          <t>F-VC-16</t>
        </is>
      </c>
      <c r="G361" s="16" t="inlineStr"/>
      <c r="H361" s="16" t="inlineStr"/>
      <c r="I361" s="16" t="inlineStr"/>
    </row>
    <row r="362">
      <c r="A362" s="13" t="inlineStr">
        <is>
          <t>## 19d. Voucher Pelanggan</t>
        </is>
      </c>
      <c r="B362" s="14" t="inlineStr">
        <is>
          <t>TC-VC-32</t>
        </is>
      </c>
      <c r="C362" s="15" t="inlineStr">
        <is>
          <t>P1</t>
        </is>
      </c>
      <c r="D362" s="13" t="inlineStr">
        <is>
          <t>Jalankan settle-voucher-payouts</t>
        </is>
      </c>
      <c r="E362" s="13" t="inlineStr">
        <is>
          <t>Status jadi sent, transfer_id terisi, saldo sub-akun resto bertambah</t>
        </is>
      </c>
      <c r="F362" s="13" t="inlineStr">
        <is>
          <t>F-VC-16</t>
        </is>
      </c>
      <c r="G362" s="13" t="inlineStr"/>
      <c r="H362" s="13" t="inlineStr"/>
      <c r="I362" s="13" t="inlineStr"/>
    </row>
    <row r="363">
      <c r="A363" s="16" t="inlineStr">
        <is>
          <t>## 19d. Voucher Pelanggan</t>
        </is>
      </c>
      <c r="B363" s="17" t="inlineStr">
        <is>
          <t>TC-VC-33</t>
        </is>
      </c>
      <c r="C363" s="18" t="inlineStr">
        <is>
          <t>P1</t>
        </is>
      </c>
      <c r="D363" s="16" t="inlineStr">
        <is>
          <t>Jalankan fungsinya dua kali berturut-turut</t>
        </is>
      </c>
      <c r="E363" s="16" t="inlineStr">
        <is>
          <t>Uangnya berpindah sekali; yang kedua duplikat dan tetap sent</t>
        </is>
      </c>
      <c r="F363" s="16" t="inlineStr">
        <is>
          <t>F-VC-18</t>
        </is>
      </c>
      <c r="G363" s="16" t="inlineStr"/>
      <c r="H363" s="16" t="inlineStr"/>
      <c r="I363" s="16" t="inlineStr"/>
    </row>
    <row r="364">
      <c r="A364" s="13" t="inlineStr">
        <is>
          <t>## 19d. Voucher Pelanggan</t>
        </is>
      </c>
      <c r="B364" s="14" t="inlineStr">
        <is>
          <t>TC-VC-34</t>
        </is>
      </c>
      <c r="C364" s="15" t="inlineStr">
        <is>
          <t>P1</t>
        </is>
      </c>
      <c r="D364" s="13" t="inlineStr">
        <is>
          <t>Matikan Xendit (kunci salah), lalu jalankan</t>
        </is>
      </c>
      <c r="E364" s="13" t="inlineStr">
        <is>
          <t>Status failed, last_error menyebut sebabnya, attempts naik</t>
        </is>
      </c>
      <c r="F364" s="13" t="inlineStr">
        <is>
          <t>F-VC-17</t>
        </is>
      </c>
      <c r="G364" s="13" t="inlineStr"/>
      <c r="H364" s="13" t="inlineStr"/>
      <c r="I364" s="13" t="inlineStr"/>
    </row>
    <row r="365">
      <c r="A365" s="16" t="inlineStr">
        <is>
          <t>## 19d. Voucher Pelanggan</t>
        </is>
      </c>
      <c r="B365" s="17" t="inlineStr">
        <is>
          <t>TC-VC-35</t>
        </is>
      </c>
      <c r="C365" s="18" t="inlineStr">
        <is>
          <t>P1</t>
        </is>
      </c>
      <c r="D365" s="16" t="inlineStr">
        <is>
          <t>Perbaiki kuncinya lalu jalankan lagi</t>
        </is>
      </c>
      <c r="E365" s="16" t="inlineStr">
        <is>
          <t>Baris yang tadi gagal terkirim</t>
        </is>
      </c>
      <c r="F365" s="16" t="inlineStr">
        <is>
          <t>F-VC-17</t>
        </is>
      </c>
      <c r="G365" s="16" t="inlineStr"/>
      <c r="H365" s="16" t="inlineStr"/>
      <c r="I365" s="16" t="inlineStr"/>
    </row>
    <row r="366">
      <c r="A366" s="13" t="inlineStr">
        <is>
          <t>## 19d. Voucher Pelanggan</t>
        </is>
      </c>
      <c r="B366" s="14" t="inlineStr">
        <is>
          <t>TC-VC-36</t>
        </is>
      </c>
      <c r="C366" s="15" t="inlineStr">
        <is>
          <t>P1</t>
        </is>
      </c>
      <c r="D366" s="13" t="inlineStr">
        <is>
          <t>Pakai voucher di resto yang belum punya sub-akun</t>
        </is>
      </c>
      <c r="E366" s="13" t="inlineStr">
        <is>
          <t>Tetap pending, attempts tidak naik, tidak hilang</t>
        </is>
      </c>
      <c r="F366" s="13" t="inlineStr">
        <is>
          <t>F-VC-19</t>
        </is>
      </c>
      <c r="G366" s="13" t="inlineStr"/>
      <c r="H366" s="13" t="inlineStr"/>
      <c r="I366" s="13" t="inlineStr"/>
    </row>
    <row r="367">
      <c r="A367" s="16" t="inlineStr">
        <is>
          <t>## 19d. Voucher Pelanggan</t>
        </is>
      </c>
      <c r="B367" s="17" t="inlineStr">
        <is>
          <t>TC-VC-37</t>
        </is>
      </c>
      <c r="C367" s="18" t="inlineStr">
        <is>
          <t>P1</t>
        </is>
      </c>
      <c r="D367" s="16" t="inlineStr">
        <is>
          <t>Buat pesanan bervoucher saat Xendit mati total</t>
        </is>
      </c>
      <c r="E367" s="16" t="inlineStr">
        <is>
          <t>Pesanannya tetap tersimpan dan masuk dapur</t>
        </is>
      </c>
      <c r="F367" s="16" t="inlineStr">
        <is>
          <t>F-VC-17</t>
        </is>
      </c>
      <c r="G367" s="16" t="inlineStr"/>
      <c r="H367" s="16" t="inlineStr"/>
      <c r="I367" s="16" t="inlineStr"/>
    </row>
    <row r="368">
      <c r="A368" s="13" t="inlineStr">
        <is>
          <t>## 19d. Voucher Pelanggan</t>
        </is>
      </c>
      <c r="B368" s="14" t="inlineStr">
        <is>
          <t>TC-VC-38</t>
        </is>
      </c>
      <c r="C368" s="19" t="inlineStr">
        <is>
          <t>P2</t>
        </is>
      </c>
      <c r="D368" s="13" t="inlineStr">
        <is>
          <t>Jalankan voucher_payouts.sql di basis data yang sudah ada pemakaian</t>
        </is>
      </c>
      <c r="E368" s="13" t="inlineStr">
        <is>
          <t>Klaim used lama ikut terantre</t>
        </is>
      </c>
      <c r="F368" s="13" t="inlineStr">
        <is>
          <t>F-VC-16</t>
        </is>
      </c>
      <c r="G368" s="13" t="inlineStr"/>
      <c r="H368" s="13" t="inlineStr"/>
      <c r="I368" s="13" t="inlineStr"/>
    </row>
    <row r="369">
      <c r="A369" s="16" t="inlineStr">
        <is>
          <t>## 19d. Voucher Pelanggan</t>
        </is>
      </c>
      <c r="B369" s="17" t="inlineStr">
        <is>
          <t>TC-VC-39</t>
        </is>
      </c>
      <c r="C369" s="18" t="inlineStr">
        <is>
          <t>P1</t>
        </is>
      </c>
      <c r="D369" s="16" t="inlineStr">
        <is>
          <t>Tulis langsung ke voucher_payouts lewat API</t>
        </is>
      </c>
      <c r="E369" s="16" t="inlineStr">
        <is>
          <t>Ditolak — tidak ada kebijakan tulis untuk siapa pun</t>
        </is>
      </c>
      <c r="F369" s="16" t="inlineStr">
        <is>
          <t>F-VC-18</t>
        </is>
      </c>
      <c r="G369" s="16" t="inlineStr"/>
      <c r="H369" s="16" t="inlineStr"/>
      <c r="I369" s="16" t="inlineStr"/>
    </row>
    <row r="370">
      <c r="A370" s="13" t="inlineStr">
        <is>
          <t>## 19d. Voucher Pelanggan</t>
        </is>
      </c>
      <c r="B370" s="14" t="inlineStr">
        <is>
          <t>TC-VC-40</t>
        </is>
      </c>
      <c r="C370" s="19" t="inlineStr">
        <is>
          <t>P2</t>
        </is>
      </c>
      <c r="D370" s="13" t="inlineStr">
        <is>
          <t>Baca voucher_payout_config sebagai Super Admin</t>
        </is>
      </c>
      <c r="E370" s="13" t="inlineStr">
        <is>
          <t>Kosong — kunci layanan tidak terbaca peran mana pun</t>
        </is>
      </c>
      <c r="F370" s="13" t="inlineStr">
        <is>
          <t>F-VC-16</t>
        </is>
      </c>
      <c r="G370" s="13" t="inlineStr"/>
      <c r="H370" s="13" t="inlineStr"/>
      <c r="I370" s="13" t="inlineStr"/>
    </row>
    <row r="371">
      <c r="A371" s="16" t="inlineStr">
        <is>
          <t>## 19d. Voucher Pelanggan</t>
        </is>
      </c>
      <c r="B371" s="17" t="inlineStr">
        <is>
          <t>TC-VC-41</t>
        </is>
      </c>
      <c r="C371" s="20" t="inlineStr">
        <is>
          <t>P2</t>
        </is>
      </c>
      <c r="D371" s="16" t="inlineStr">
        <is>
          <t>Jalankan penjadwal sebelum function_url diisi</t>
        </is>
      </c>
      <c r="E371" s="16" t="inlineStr">
        <is>
          <t>Berjalan tanpa melakukan apa-apa, tanpa galat</t>
        </is>
      </c>
      <c r="F371" s="16" t="inlineStr">
        <is>
          <t>F-VC-17</t>
        </is>
      </c>
      <c r="G371" s="16" t="inlineStr"/>
      <c r="H371" s="16" t="inlineStr"/>
      <c r="I371" s="16" t="inlineStr"/>
    </row>
    <row r="372">
      <c r="A372" s="13" t="inlineStr">
        <is>
          <t>## 19d. Voucher Pelanggan</t>
        </is>
      </c>
      <c r="B372" s="14" t="inlineStr">
        <is>
          <t>TC-VC-42</t>
        </is>
      </c>
      <c r="C372" s="15" t="inlineStr">
        <is>
          <t>P1</t>
        </is>
      </c>
      <c r="D372" s="13" t="inlineStr">
        <is>
          <t>Bandingkan total sent dengan mutasi transfer di dashboard Xendit</t>
        </is>
      </c>
      <c r="E372" s="13" t="inlineStr">
        <is>
          <t>Cocok baris per baris lewat transfer_id</t>
        </is>
      </c>
      <c r="F372" s="13" t="inlineStr">
        <is>
          <t>F-VC-16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TC-VC-43</t>
        </is>
      </c>
      <c r="C373" s="18" t="inlineStr">
        <is>
          <t>P1</t>
        </is>
      </c>
      <c r="D373" s="16" t="inlineStr">
        <is>
          <t>Jalankan pencairan saat xenPlatform belum aktif</t>
        </is>
      </c>
      <c r="E373" s="16" t="inlineStr">
        <is>
          <t>Seluruh antrean tetap pending, attempts nol, tidak ada galat</t>
        </is>
      </c>
      <c r="F373" s="16" t="inlineStr">
        <is>
          <t>F-VC-19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TC-VC-44</t>
        </is>
      </c>
      <c r="C374" s="19" t="inlineStr">
        <is>
          <t>P2</t>
        </is>
      </c>
      <c r="D374" s="13" t="inlineStr">
        <is>
          <t>Aktifkan xenPlatform + pasang sub-akun, lalu tunggu penjadwal</t>
        </is>
      </c>
      <c r="E374" s="13" t="inlineStr">
        <is>
          <t>Tunggakan lama ikut terangkut tanpa dijalankan ulang manual</t>
        </is>
      </c>
      <c r="F374" s="13" t="inlineStr">
        <is>
          <t>F-VC-16, F-VC-17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TC-VC-45</t>
        </is>
      </c>
      <c r="C375" s="18" t="inlineStr">
        <is>
          <t>P1</t>
        </is>
      </c>
      <c r="D375" s="16" t="inlineStr">
        <is>
          <t>Super Admin → Finance → Pemetaan GL</t>
        </is>
      </c>
      <c r="E375" s="16" t="inlineStr">
        <is>
          <t>Ada bagian GL Voucher berisi GL Voucher dan GL Voucher Redeem</t>
        </is>
      </c>
      <c r="F375" s="16" t="inlineStr">
        <is>
          <t>F-VC-13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TC-VC-46</t>
        </is>
      </c>
      <c r="C376" s="15" t="inlineStr">
        <is>
          <t>P1</t>
        </is>
      </c>
      <c r="D376" s="13" t="inlineStr">
        <is>
          <t>Buka Pemetaan GL sebagai Finance resto biasa</t>
        </is>
      </c>
      <c r="E376" s="13" t="inlineStr">
        <is>
          <t>Bagian GL Voucher tidak muncul, penanda "belum dipetakan" tidak berbunyi</t>
        </is>
      </c>
      <c r="F376" s="13" t="inlineStr">
        <is>
          <t>F-VC-13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TC-VC-47</t>
        </is>
      </c>
      <c r="C377" s="20" t="inlineStr">
        <is>
          <t>P2</t>
        </is>
      </c>
      <c r="D377" s="16" t="inlineStr">
        <is>
          <t>Ubah nomor GL Voucher lalu simpan</t>
        </is>
      </c>
      <c r="E377" s="16" t="inlineStr">
        <is>
          <t>Tersimpan, dan jurnal voucher berikutnya memakai nomor baru</t>
        </is>
      </c>
      <c r="F377" s="16" t="inlineStr">
        <is>
          <t>F-VC-13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TC-VC-48</t>
        </is>
      </c>
      <c r="C378" s="15" t="inlineStr">
        <is>
          <t>P1</t>
        </is>
      </c>
      <c r="D378" s="13" t="inlineStr">
        <is>
          <t>Terbitkan batch, lalu buka Kotak Masuk pelanggan</t>
        </is>
      </c>
      <c r="E378" s="13" t="inlineStr">
        <is>
          <t>Ada kabar di tab Umum berisi kode, nilai, kuota, dan tenggat</t>
        </is>
      </c>
      <c r="F378" s="13" t="inlineStr">
        <is>
          <t>F-VC-20, F-VC-21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TC-VC-49</t>
        </is>
      </c>
      <c r="C379" s="18" t="inlineStr">
        <is>
          <t>P1</t>
        </is>
      </c>
      <c r="D379" s="16" t="inlineStr">
        <is>
          <t>Terbitkan batch dengan HP pelanggan terkunci</t>
        </is>
      </c>
      <c r="E379" s="16" t="inlineStr">
        <is>
          <t>Push muncul di layar kunci</t>
        </is>
      </c>
      <c r="F379" s="16" t="inlineStr">
        <is>
          <t>F-VC-20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TC-VC-50</t>
        </is>
      </c>
      <c r="C380" s="19" t="inlineStr">
        <is>
          <t>P2</t>
        </is>
      </c>
      <c r="D380" s="13" t="inlineStr">
        <is>
          <t>Terbitkan batch tanpa minimal belanja</t>
        </is>
      </c>
      <c r="E380" s="13" t="inlineStr">
        <is>
          <t>Kalimat minimal belanja tidak muncul di pengumuman</t>
        </is>
      </c>
      <c r="F380" s="13" t="inlineStr">
        <is>
          <t>F-VC-21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TC-VC-51</t>
        </is>
      </c>
      <c r="C381" s="20" t="inlineStr">
        <is>
          <t>P2</t>
        </is>
      </c>
      <c r="D381" s="16" t="inlineStr">
        <is>
          <t>Buka Kotak Masuk sebagai pegawai resto</t>
        </is>
      </c>
      <c r="E381" s="16" t="inlineStr">
        <is>
          <t>Kabar voucher tidak muncul — audiensnya pelanggan</t>
        </is>
      </c>
      <c r="F381" s="16" t="inlineStr">
        <is>
          <t>F-VC-20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TC-VC-52</t>
        </is>
      </c>
      <c r="C382" s="19" t="inlineStr">
        <is>
          <t>P2</t>
        </is>
      </c>
      <c r="D382" s="13" t="inlineStr">
        <is>
          <t>Ketik nama resto di kolom cari pada form terbit</t>
        </is>
      </c>
      <c r="E382" s="13" t="inlineStr">
        <is>
          <t>Daftarnya menyusut sesuai kata kuncinya</t>
        </is>
      </c>
      <c r="F382" s="13" t="inlineStr">
        <is>
          <t>F-VC-22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TC-VC-53</t>
        </is>
      </c>
      <c r="C383" s="18" t="inlineStr">
        <is>
          <t>P1</t>
        </is>
      </c>
      <c r="D383" s="16" t="inlineStr">
        <is>
          <t>Centang 3 resto, lalu cari kata yang menyaringnya keluar</t>
        </is>
      </c>
      <c r="E383" s="16" t="inlineStr">
        <is>
          <t>Ketiganya tetap terpilih; hitungannya tidak berubah</t>
        </is>
      </c>
      <c r="F383" s="16" t="inlineStr">
        <is>
          <t>F-VC-22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TC-VC-54</t>
        </is>
      </c>
      <c r="C384" s="15" t="inlineStr">
        <is>
          <t>P1</t>
        </is>
      </c>
      <c r="D384" s="13" t="inlineStr">
        <is>
          <t>Saring daftarnya, lalu ketuk Pilih semua</t>
        </is>
      </c>
      <c r="E384" s="13" t="inlineStr">
        <is>
          <t>Hanya yang tampil tercentang, bukan seluruh resto</t>
        </is>
      </c>
      <c r="F384" s="13" t="inlineStr">
        <is>
          <t>F-VC-22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TC-VC-55</t>
        </is>
      </c>
      <c r="C385" s="20" t="inlineStr">
        <is>
          <t>P2</t>
        </is>
      </c>
      <c r="D385" s="16" t="inlineStr">
        <is>
          <t>Ketuk Lepas semua saat semua yang tampil tercentang</t>
        </is>
      </c>
      <c r="E385" s="16" t="inlineStr">
        <is>
          <t>Yang tampil terlepas; pilihan di luar saringan tetap</t>
        </is>
      </c>
      <c r="F385" s="16" t="inlineStr">
        <is>
          <t>F-VC-22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TC-VC-56</t>
        </is>
      </c>
      <c r="C386" s="19" t="inlineStr">
        <is>
          <t>P2</t>
        </is>
      </c>
      <c r="D386" s="13" t="inlineStr">
        <is>
          <t>Cari nama resto yang tidak ada</t>
        </is>
      </c>
      <c r="E386" s="13" t="inlineStr">
        <is>
          <t>Muncul "Tidak ada resto bernama itu"</t>
        </is>
      </c>
      <c r="F386" s="13" t="inlineStr">
        <is>
          <t>F-VC-22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TC-VC-57</t>
        </is>
      </c>
      <c r="C387" s="18" t="inlineStr">
        <is>
          <t>P1</t>
        </is>
      </c>
      <c r="D387" s="16" t="inlineStr">
        <is>
          <t>Terbitkan batch berbanner, lalu buka Kotak Masuk pelanggan</t>
        </is>
      </c>
      <c r="E387" s="16" t="inlineStr">
        <is>
          <t>Gambarnya tampil bersama kabarnya</t>
        </is>
      </c>
      <c r="F387" s="16" t="inlineStr">
        <is>
          <t>F-VC-23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TC-VC-58</t>
        </is>
      </c>
      <c r="C388" s="19" t="inlineStr">
        <is>
          <t>P2</t>
        </is>
      </c>
      <c r="D388" s="13" t="inlineStr">
        <is>
          <t>Pilih gambar potret, lihat pratinjaunya</t>
        </is>
      </c>
      <c r="E388" s="13" t="inlineStr">
        <is>
          <t>Dipotong 16:9, sama dengan yang nanti muncul di kotak masuk</t>
        </is>
      </c>
      <c r="F388" s="13" t="inlineStr">
        <is>
          <t>F-VC-23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TC-VC-59</t>
        </is>
      </c>
      <c r="C389" s="20" t="inlineStr">
        <is>
          <t>P2</t>
        </is>
      </c>
      <c r="D389" s="16" t="inlineStr">
        <is>
          <t>Terbitkan batch tanpa banner</t>
        </is>
      </c>
      <c r="E389" s="16" t="inlineStr">
        <is>
          <t>Kabarnya tetap terkirim, tanpa gambar</t>
        </is>
      </c>
      <c r="F389" s="16" t="inlineStr">
        <is>
          <t>F-VC-23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TC-VC-60</t>
        </is>
      </c>
      <c r="C390" s="15" t="inlineStr">
        <is>
          <t>P1</t>
        </is>
      </c>
      <c r="D390" s="13" t="inlineStr">
        <is>
          <t>Cari tombol Hapus pada batch yang masih berjalan</t>
        </is>
      </c>
      <c r="E390" s="13" t="inlineStr">
        <is>
          <t>Tidak ada — harus ditutup dulu</t>
        </is>
      </c>
      <c r="F390" s="13" t="inlineStr">
        <is>
          <t>F-VC-24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TC-VC-61</t>
        </is>
      </c>
      <c r="C391" s="18" t="inlineStr">
        <is>
          <t>P1</t>
        </is>
      </c>
      <c r="D391" s="16" t="inlineStr">
        <is>
          <t>Tutup batch yang belum ada penebusnya, lalu hapus</t>
        </is>
      </c>
      <c r="E391" s="16" t="inlineStr">
        <is>
          <t>Terhapus; dananya kembali ke GL Total Saldo</t>
        </is>
      </c>
      <c r="F391" s="16" t="inlineStr">
        <is>
          <t>F-VC-24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TC-VC-62</t>
        </is>
      </c>
      <c r="C392" s="15" t="inlineStr">
        <is>
          <t>P1</t>
        </is>
      </c>
      <c r="D392" s="13" t="inlineStr">
        <is>
          <t>Periksa Kotak Masuk pelanggan sesudah batch dihapus</t>
        </is>
      </c>
      <c r="E392" s="13" t="inlineStr">
        <is>
          <t>Kabar vouchernya ikut hilang</t>
        </is>
      </c>
      <c r="F392" s="13" t="inlineStr">
        <is>
          <t>F-VC-24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TC-VC-63</t>
        </is>
      </c>
      <c r="C393" s="18" t="inlineStr">
        <is>
          <t>P1</t>
        </is>
      </c>
      <c r="D393" s="16" t="inlineStr">
        <is>
          <t>Panggil delete_voucher_batch untuk batch yang sudah ada penebusnya</t>
        </is>
      </c>
      <c r="E393" s="16" t="inlineStr">
        <is>
          <t>Ditolak, dengan jumlah penebusnya disebut</t>
        </is>
      </c>
      <c r="F393" s="16" t="inlineStr">
        <is>
          <t>F-VC-24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TC-VC-64</t>
        </is>
      </c>
      <c r="C394" s="15" t="inlineStr">
        <is>
          <t>P1</t>
        </is>
      </c>
      <c r="D394" s="13" t="inlineStr">
        <is>
          <t>Panggil delete_voucher_batch sebagai bukan Super Admin</t>
        </is>
      </c>
      <c r="E394" s="13" t="inlineStr">
        <is>
          <t>Ditolak</t>
        </is>
      </c>
      <c r="F394" s="13" t="inlineStr">
        <is>
          <t>F-VC-24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TC-VC-65</t>
        </is>
      </c>
      <c r="C395" s="20" t="inlineStr">
        <is>
          <t>P2</t>
        </is>
      </c>
      <c r="D395" s="16" t="inlineStr">
        <is>
          <t>Hapus batch yang sudah pernah disettle penjadwal</t>
        </is>
      </c>
      <c r="E395" s="16" t="inlineStr">
        <is>
          <t>Dananya tidak dikembalikan dua kali</t>
        </is>
      </c>
      <c r="F395" s="16" t="inlineStr">
        <is>
          <t>F-VC-24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TC-VC-66</t>
        </is>
      </c>
      <c r="C396" s="15" t="inlineStr">
        <is>
          <t>P1</t>
        </is>
      </c>
      <c r="D396" s="13" t="inlineStr">
        <is>
          <t>Ketuk Penebus pada sebuah batch</t>
        </is>
      </c>
      <c r="E396" s="13" t="inlineStr">
        <is>
          <t>Daftar email penebut berikut tanggal tebus dan statusnya</t>
        </is>
      </c>
      <c r="F396" s="13" t="inlineStr">
        <is>
          <t>F-VC-25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TC-VC-67</t>
        </is>
      </c>
      <c r="C397" s="18" t="inlineStr">
        <is>
          <t>P1</t>
        </is>
      </c>
      <c r="D397" s="16" t="inlineStr">
        <is>
          <t>Periksa ringkasan di atas daftar penebus</t>
        </is>
      </c>
      <c r="E397" s="16" t="inlineStr">
        <is>
          <t>Dipakai / Menggantung / Hangus berjumlah sama dengan barisnya</t>
        </is>
      </c>
      <c r="F397" s="16" t="inlineStr">
        <is>
          <t>F-VC-25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TC-VC-68</t>
        </is>
      </c>
      <c r="C398" s="15" t="inlineStr">
        <is>
          <t>P1</t>
        </is>
      </c>
      <c r="D398" s="13" t="inlineStr">
        <is>
          <t>Lewati tanggal kedaluwarsa sebelum penjadwal berjalan</t>
        </is>
      </c>
      <c r="E398" s="13" t="inlineStr">
        <is>
          <t>Statusnya sudah Hangus, bukan Belum Dipakai</t>
        </is>
      </c>
      <c r="F398" s="13" t="inlineStr">
        <is>
          <t>F-VC-25</t>
        </is>
      </c>
      <c r="G398" s="13" t="inlineStr"/>
      <c r="H398" s="13" t="inlineStr"/>
      <c r="I398" s="13" t="inlineStr"/>
    </row>
    <row r="399">
      <c r="A399" s="16" t="inlineStr">
        <is>
          <t>## 19e. Analisa Pasar</t>
        </is>
      </c>
      <c r="B399" s="17" t="inlineStr">
        <is>
          <t>TC-MR-01</t>
        </is>
      </c>
      <c r="C399" s="18" t="inlineStr">
        <is>
          <t>P1</t>
        </is>
      </c>
      <c r="D399" s="16" t="inlineStr">
        <is>
          <t>Super Admin → Analisa Pasar</t>
        </is>
      </c>
      <c r="E399" s="16" t="inlineStr">
        <is>
          <t>Empat bagian termuat tanpa galat</t>
        </is>
      </c>
      <c r="F399" s="16" t="inlineStr">
        <is>
          <t>F-MR-01…04</t>
        </is>
      </c>
      <c r="G399" s="16" t="inlineStr"/>
      <c r="H399" s="16" t="inlineStr"/>
      <c r="I399" s="16" t="inlineStr"/>
    </row>
    <row r="400">
      <c r="A400" s="13" t="inlineStr">
        <is>
          <t>## 19e. Analisa Pasar</t>
        </is>
      </c>
      <c r="B400" s="14" t="inlineStr">
        <is>
          <t>TC-MR-02</t>
        </is>
      </c>
      <c r="C400" s="15" t="inlineStr">
        <is>
          <t>P1</t>
        </is>
      </c>
      <c r="D400" s="13" t="inlineStr">
        <is>
          <t>Bandingkan Top 5 Pelanggan dengan jumlah manual dari orders</t>
        </is>
      </c>
      <c r="E400" s="13" t="inlineStr">
        <is>
          <t>Cocok nominal dan jumlah pesanannya</t>
        </is>
      </c>
      <c r="F400" s="13" t="inlineStr">
        <is>
          <t>F-MR-01</t>
        </is>
      </c>
      <c r="G400" s="13" t="inlineStr"/>
      <c r="H400" s="13" t="inlineStr"/>
      <c r="I400" s="13" t="inlineStr"/>
    </row>
    <row r="401">
      <c r="A401" s="16" t="inlineStr">
        <is>
          <t>## 19e. Analisa Pasar</t>
        </is>
      </c>
      <c r="B401" s="17" t="inlineStr">
        <is>
          <t>TC-MR-03</t>
        </is>
      </c>
      <c r="C401" s="18" t="inlineStr">
        <is>
          <t>P1</t>
        </is>
      </c>
      <c r="D401" s="16" t="inlineStr">
        <is>
          <t>Batalkan sebuah pesanan besar, muat ulang</t>
        </is>
      </c>
      <c r="E401" s="16" t="inlineStr">
        <is>
          <t>Nominalnya berkurang — yang batal tidak dihitung</t>
        </is>
      </c>
      <c r="F401" s="16" t="inlineStr">
        <is>
          <t>F-MR-05</t>
        </is>
      </c>
      <c r="G401" s="16" t="inlineStr"/>
      <c r="H401" s="16" t="inlineStr"/>
      <c r="I401" s="16" t="inlineStr"/>
    </row>
    <row r="402">
      <c r="A402" s="13" t="inlineStr">
        <is>
          <t>## 19e. Analisa Pasar</t>
        </is>
      </c>
      <c r="B402" s="14" t="inlineStr">
        <is>
          <t>TC-MR-04</t>
        </is>
      </c>
      <c r="C402" s="15" t="inlineStr">
        <is>
          <t>P1</t>
        </is>
      </c>
      <c r="D402" s="13" t="inlineStr">
        <is>
          <t>Buat akun pelanggan baru tanpa memesan</t>
        </is>
      </c>
      <c r="E402" s="13" t="inlineStr">
        <is>
          <t>Muncul di daftar Belum Pernah Memesan</t>
        </is>
      </c>
      <c r="F402" s="13" t="inlineStr">
        <is>
          <t>F-MR-02</t>
        </is>
      </c>
      <c r="G402" s="13" t="inlineStr"/>
      <c r="H402" s="13" t="inlineStr"/>
      <c r="I402" s="13" t="inlineStr"/>
    </row>
    <row r="403">
      <c r="A403" s="16" t="inlineStr">
        <is>
          <t>## 19e. Analisa Pasar</t>
        </is>
      </c>
      <c r="B403" s="17" t="inlineStr">
        <is>
          <t>TC-MR-05</t>
        </is>
      </c>
      <c r="C403" s="18" t="inlineStr">
        <is>
          <t>P1</t>
        </is>
      </c>
      <c r="D403" s="16" t="inlineStr">
        <is>
          <t>Pelanggan itu menyelesaikan satu pesanan, muat ulang</t>
        </is>
      </c>
      <c r="E403" s="16" t="inlineStr">
        <is>
          <t>Hilang dari daftar tersebut</t>
        </is>
      </c>
      <c r="F403" s="16" t="inlineStr">
        <is>
          <t>F-MR-02</t>
        </is>
      </c>
      <c r="G403" s="16" t="inlineStr"/>
      <c r="H403" s="16" t="inlineStr"/>
      <c r="I403" s="16" t="inlineStr"/>
    </row>
    <row r="404">
      <c r="A404" s="13" t="inlineStr">
        <is>
          <t>## 19e. Analisa Pasar</t>
        </is>
      </c>
      <c r="B404" s="14" t="inlineStr">
        <is>
          <t>TC-MR-06</t>
        </is>
      </c>
      <c r="C404" s="15" t="inlineStr">
        <is>
          <t>P1</t>
        </is>
      </c>
      <c r="D404" s="13" t="inlineStr">
        <is>
          <t>Bandingkan Top 5 Resto dengan Jurnal GL resto bersangkutan</t>
        </is>
      </c>
      <c r="E404" s="13" t="inlineStr">
        <is>
          <t>Nominalnya sejalan</t>
        </is>
      </c>
      <c r="F404" s="13" t="inlineStr">
        <is>
          <t>F-MR-03</t>
        </is>
      </c>
      <c r="G404" s="13" t="inlineStr"/>
      <c r="H404" s="13" t="inlineStr"/>
      <c r="I404" s="13" t="inlineStr"/>
    </row>
    <row r="405">
      <c r="A405" s="16" t="inlineStr">
        <is>
          <t>## 19e. Analisa Pasar</t>
        </is>
      </c>
      <c r="B405" s="17" t="inlineStr">
        <is>
          <t>TC-MR-07</t>
        </is>
      </c>
      <c r="C405" s="18" t="inlineStr">
        <is>
          <t>P1</t>
        </is>
      </c>
      <c r="D405" s="16" t="inlineStr">
        <is>
          <t>Resto yang seluruh pesanannya batal</t>
        </is>
      </c>
      <c r="E405" s="16" t="inlineStr">
        <is>
          <t>Muncul di Belum Ada Penghasilan, jumlah pesanan 0</t>
        </is>
      </c>
      <c r="F405" s="16" t="inlineStr">
        <is>
          <t>F-MR-04</t>
        </is>
      </c>
      <c r="G405" s="16" t="inlineStr"/>
      <c r="H405" s="16" t="inlineStr"/>
      <c r="I405" s="16" t="inlineStr"/>
    </row>
    <row r="406">
      <c r="A406" s="13" t="inlineStr">
        <is>
          <t>## 19e. Analisa Pasar</t>
        </is>
      </c>
      <c r="B406" s="14" t="inlineStr">
        <is>
          <t>TC-MR-08</t>
        </is>
      </c>
      <c r="C406" s="19" t="inlineStr">
        <is>
          <t>P2</t>
        </is>
      </c>
      <c r="D406" s="13" t="inlineStr">
        <is>
          <t>Resto baru tanpa pesanan sama sekali</t>
        </is>
      </c>
      <c r="E406" s="13" t="inlineStr">
        <is>
          <t>Muncul dengan "Belum ada pesanan"</t>
        </is>
      </c>
      <c r="F406" s="13" t="inlineStr">
        <is>
          <t>F-MR-04</t>
        </is>
      </c>
      <c r="G406" s="13" t="inlineStr"/>
      <c r="H406" s="13" t="inlineStr"/>
      <c r="I406" s="13" t="inlineStr"/>
    </row>
    <row r="407">
      <c r="A407" s="16" t="inlineStr">
        <is>
          <t>## 19e. Analisa Pasar</t>
        </is>
      </c>
      <c r="B407" s="17" t="inlineStr">
        <is>
          <t>TC-MR-09</t>
        </is>
      </c>
      <c r="C407" s="18" t="inlineStr">
        <is>
          <t>P1</t>
        </is>
      </c>
      <c r="D407" s="16" t="inlineStr">
        <is>
          <t>Periksa apakah resto KaataGo ikut terhitung</t>
        </is>
      </c>
      <c r="E407" s="16" t="inlineStr">
        <is>
          <t>Tidak — resto platform dikecualikan</t>
        </is>
      </c>
      <c r="F407" s="16" t="inlineStr">
        <is>
          <t>F-MR-06</t>
        </is>
      </c>
      <c r="G407" s="16" t="inlineStr"/>
      <c r="H407" s="16" t="inlineStr"/>
      <c r="I407" s="16" t="inlineStr"/>
    </row>
    <row r="408">
      <c r="A408" s="13" t="inlineStr">
        <is>
          <t>## 19e. Analisa Pasar</t>
        </is>
      </c>
      <c r="B408" s="14" t="inlineStr">
        <is>
          <t>TC-MR-10</t>
        </is>
      </c>
      <c r="C408" s="15" t="inlineStr">
        <is>
          <t>P1</t>
        </is>
      </c>
      <c r="D408" s="13" t="inlineStr">
        <is>
          <t>Hapus lunak sebuah resto, muat ulang</t>
        </is>
      </c>
      <c r="E408" s="13" t="inlineStr">
        <is>
          <t>Hilang dari keempat daftar</t>
        </is>
      </c>
      <c r="F408" s="13" t="inlineStr">
        <is>
          <t>F-MR-06</t>
        </is>
      </c>
      <c r="G408" s="13" t="inlineStr"/>
      <c r="H408" s="13" t="inlineStr"/>
      <c r="I408" s="13" t="inlineStr"/>
    </row>
    <row r="409">
      <c r="A409" s="16" t="inlineStr">
        <is>
          <t>## 19e. Analisa Pasar</t>
        </is>
      </c>
      <c r="B409" s="17" t="inlineStr">
        <is>
          <t>TC-MR-11</t>
        </is>
      </c>
      <c r="C409" s="18" t="inlineStr">
        <is>
          <t>P1</t>
        </is>
      </c>
      <c r="D409" s="16" t="inlineStr">
        <is>
          <t>Panggil report_top_customers sebagai Owner resto</t>
        </is>
      </c>
      <c r="E409" s="16" t="inlineStr">
        <is>
          <t>Daftar kosong, bukan pesan galat</t>
        </is>
      </c>
      <c r="F409" s="16" t="inlineStr">
        <is>
          <t>F-MR-07</t>
        </is>
      </c>
      <c r="G409" s="16" t="inlineStr"/>
      <c r="H409" s="16" t="inlineStr"/>
      <c r="I409" s="16" t="inlineStr"/>
    </row>
    <row r="410">
      <c r="A410" s="13" t="inlineStr">
        <is>
          <t>## 19e. Analisa Pasar</t>
        </is>
      </c>
      <c r="B410" s="14" t="inlineStr">
        <is>
          <t>TC-MR-12</t>
        </is>
      </c>
      <c r="C410" s="19" t="inlineStr">
        <is>
          <t>P2</t>
        </is>
      </c>
      <c r="D410" s="13" t="inlineStr">
        <is>
          <t>Panggil salah satu RPC dengan p_limit 99999</t>
        </is>
      </c>
      <c r="E410" s="13" t="inlineStr">
        <is>
          <t>Dijepit ke batas atasnya</t>
        </is>
      </c>
      <c r="F410" s="13" t="inlineStr">
        <is>
          <t>F-MR-07</t>
        </is>
      </c>
      <c r="G410" s="13" t="inlineStr"/>
      <c r="H410" s="13" t="inlineStr"/>
      <c r="I410" s="13" t="inlineStr"/>
    </row>
    <row r="411">
      <c r="A411" s="16" t="inlineStr">
        <is>
          <t>## 19e. Analisa Pasar</t>
        </is>
      </c>
      <c r="B411" s="17" t="inlineStr">
        <is>
          <t>TC-MR-13</t>
        </is>
      </c>
      <c r="C411" s="20" t="inlineStr">
        <is>
          <t>P2</t>
        </is>
      </c>
      <c r="D411" s="16" t="inlineStr">
        <is>
          <t>Pesanan kasir atas nama tamu</t>
        </is>
      </c>
      <c r="E411" s="16" t="inlineStr">
        <is>
          <t>Tidak ikut peringkat pelanggan — bukan akun terdaftar</t>
        </is>
      </c>
      <c r="F411" s="16" t="inlineStr">
        <is>
          <t>F-MR-01</t>
        </is>
      </c>
      <c r="G411" s="16" t="inlineStr"/>
      <c r="H411" s="16" t="inlineStr"/>
      <c r="I411" s="16" t="inlineStr"/>
    </row>
    <row r="412">
      <c r="A412" s="13" t="inlineStr">
        <is>
          <t>Uji Teknis (lingkup TSD)</t>
        </is>
      </c>
      <c r="B412" s="14" t="inlineStr">
        <is>
          <t>TC-TS-01</t>
        </is>
      </c>
      <c r="C412" s="15" t="inlineStr">
        <is>
          <t>P1</t>
        </is>
      </c>
      <c r="D412" s="13" t="inlineStr">
        <is>
          <t>Panggil GET /rest/v1/orders memakai kunci anon tanpa login</t>
        </is>
      </c>
      <c r="E412" s="13" t="inlineStr">
        <is>
          <t>Tidak mengembalikan pesanan resto mana pun</t>
        </is>
      </c>
      <c r="F412" s="13" t="inlineStr">
        <is>
          <t>TSD §5</t>
        </is>
      </c>
      <c r="G412" s="13" t="inlineStr"/>
      <c r="H412" s="13" t="inlineStr"/>
      <c r="I412" s="13" t="inlineStr"/>
    </row>
    <row r="413">
      <c r="A413" s="16" t="inlineStr">
        <is>
          <t>Uji Teknis (lingkup TSD)</t>
        </is>
      </c>
      <c r="B413" s="17" t="inlineStr">
        <is>
          <t>TC-TS-02</t>
        </is>
      </c>
      <c r="C413" s="18" t="inlineStr">
        <is>
          <t>P1</t>
        </is>
      </c>
      <c r="D413" s="16" t="inlineStr">
        <is>
          <t>Login sebagai karyawan resto A, baca orders resto B lewat API</t>
        </is>
      </c>
      <c r="E413" s="16" t="inlineStr">
        <is>
          <t>Kosong — bukan galat, tapi juga bukan data</t>
        </is>
      </c>
      <c r="F413" s="16" t="inlineStr">
        <is>
          <t>TSD §5</t>
        </is>
      </c>
      <c r="G413" s="16" t="inlineStr"/>
      <c r="H413" s="16" t="inlineStr"/>
      <c r="I413" s="16" t="inlineStr"/>
    </row>
    <row r="414">
      <c r="A414" s="13" t="inlineStr">
        <is>
          <t>Uji Teknis (lingkup TSD)</t>
        </is>
      </c>
      <c r="B414" s="14" t="inlineStr">
        <is>
          <t>TC-TS-03</t>
        </is>
      </c>
      <c r="C414" s="15" t="inlineStr">
        <is>
          <t>P1</t>
        </is>
      </c>
      <c r="D414" s="13" t="inlineStr">
        <is>
          <t>Login sebagai Owner, buka tiap layar resto miliknya</t>
        </is>
      </c>
      <c r="E414" s="13" t="inlineStr">
        <is>
          <t>Tidak ada layar yang kosong karena RLS — owner harus disebut di setiap daftar peran</t>
        </is>
      </c>
      <c r="F414" s="13" t="inlineStr">
        <is>
          <t>TSD §5</t>
        </is>
      </c>
      <c r="G414" s="13" t="inlineStr"/>
      <c r="H414" s="13" t="inlineStr"/>
      <c r="I414" s="13" t="inlineStr"/>
    </row>
    <row r="415">
      <c r="A415" s="16" t="inlineStr">
        <is>
          <t>Uji Teknis (lingkup TSD)</t>
        </is>
      </c>
      <c r="B415" s="17" t="inlineStr">
        <is>
          <t>TC-TS-04</t>
        </is>
      </c>
      <c r="C415" s="18" t="inlineStr">
        <is>
          <t>P1</t>
        </is>
      </c>
      <c r="D415" s="16" t="inlineStr">
        <is>
          <t>Login sebagai Kasir, baca gl_journal_entries</t>
        </is>
      </c>
      <c r="E415" s="16" t="inlineStr">
        <is>
          <t>Hanya yang terkait catatan yang memang boleh dia lihat</t>
        </is>
      </c>
      <c r="F415" s="16" t="inlineStr">
        <is>
          <t>F-KS-13, TSD §5.1</t>
        </is>
      </c>
      <c r="G415" s="16" t="inlineStr"/>
      <c r="H415" s="16" t="inlineStr"/>
      <c r="I415" s="16" t="inlineStr"/>
    </row>
    <row r="416">
      <c r="A416" s="13" t="inlineStr">
        <is>
          <t>Uji Teknis (lingkup TSD)</t>
        </is>
      </c>
      <c r="B416" s="14" t="inlineStr">
        <is>
          <t>TC-TS-05</t>
        </is>
      </c>
      <c r="C416" s="15" t="inlineStr">
        <is>
          <t>P1</t>
        </is>
      </c>
      <c r="D416" s="13" t="inlineStr">
        <is>
          <t>Coba UPDATE products langsung lewat API sebagai pelanggan</t>
        </is>
      </c>
      <c r="E416" s="13" t="inlineStr">
        <is>
          <t>Ditolak; pengurangan stok hanya lewat decrement_stock</t>
        </is>
      </c>
      <c r="F416" s="13" t="inlineStr">
        <is>
          <t>TSD §5.2</t>
        </is>
      </c>
      <c r="G416" s="13" t="inlineStr"/>
      <c r="H416" s="13" t="inlineStr"/>
      <c r="I416" s="13" t="inlineStr"/>
    </row>
    <row r="417">
      <c r="A417" s="16" t="inlineStr">
        <is>
          <t>Uji Teknis (lingkup TSD)</t>
        </is>
      </c>
      <c r="B417" s="17" t="inlineStr">
        <is>
          <t>TC-TS-06</t>
        </is>
      </c>
      <c r="C417" s="18" t="inlineStr">
        <is>
          <t>P1</t>
        </is>
      </c>
      <c r="D417" s="16" t="inlineStr">
        <is>
          <t>Panggil cancel_my_order untuk pesanan milik orang lain</t>
        </is>
      </c>
      <c r="E417" s="16" t="inlineStr">
        <is>
          <t>Ditolak</t>
        </is>
      </c>
      <c r="F417" s="16" t="inlineStr">
        <is>
          <t>TSD §5.2</t>
        </is>
      </c>
      <c r="G417" s="16" t="inlineStr"/>
      <c r="H417" s="16" t="inlineStr"/>
      <c r="I417" s="16" t="inlineStr"/>
    </row>
    <row r="418">
      <c r="A418" s="13" t="inlineStr">
        <is>
          <t>Uji Teknis (lingkup TSD)</t>
        </is>
      </c>
      <c r="B418" s="14" t="inlineStr">
        <is>
          <t>TC-TS-07</t>
        </is>
      </c>
      <c r="C418" s="15" t="inlineStr">
        <is>
          <t>P1</t>
        </is>
      </c>
      <c r="D418" s="13" t="inlineStr">
        <is>
          <t>Jalankan ulang seluruh JALANKAN-INI.sql di database yang sudah terisi</t>
        </is>
      </c>
      <c r="E418" s="13" t="inlineStr">
        <is>
          <t>Selesai tanpa galat; tidak ada data yang berubah</t>
        </is>
      </c>
      <c r="F418" s="13" t="inlineStr">
        <is>
          <t>TSD §11</t>
        </is>
      </c>
      <c r="G418" s="13" t="inlineStr"/>
      <c r="H418" s="13" t="inlineStr"/>
      <c r="I418" s="13" t="inlineStr"/>
    </row>
    <row r="419">
      <c r="A419" s="16" t="inlineStr">
        <is>
          <t>Uji Teknis (lingkup TSD)</t>
        </is>
      </c>
      <c r="B419" s="17" t="inlineStr">
        <is>
          <t>TC-TS-08</t>
        </is>
      </c>
      <c r="C419" s="18" t="inlineStr">
        <is>
          <t>P1</t>
        </is>
      </c>
      <c r="D419" s="16" t="inlineStr">
        <is>
          <t>Jalankan ulang satu berkas SQL lama saja, misal cash_payment_expiry.sql</t>
        </is>
      </c>
      <c r="E419" s="16" t="inlineStr">
        <is>
          <t>Tidak menyempitkan daftar nilai batasan mana pun</t>
        </is>
      </c>
      <c r="F419" s="16" t="inlineStr">
        <is>
          <t>TSD §11.1</t>
        </is>
      </c>
      <c r="G419" s="16" t="inlineStr"/>
      <c r="H419" s="16" t="inlineStr"/>
      <c r="I419" s="16" t="inlineStr"/>
    </row>
    <row r="420">
      <c r="A420" s="13" t="inlineStr">
        <is>
          <t>Uji Teknis (lingkup TSD)</t>
        </is>
      </c>
      <c r="B420" s="14" t="inlineStr">
        <is>
          <t>TC-TS-09</t>
        </is>
      </c>
      <c r="C420" s="15" t="inlineStr">
        <is>
          <t>P1</t>
        </is>
      </c>
      <c r="D420" s="13" t="inlineStr">
        <is>
          <t>Buat resto baru dari Super Admin</t>
        </is>
      </c>
      <c r="E420" s="13" t="inlineStr">
        <is>
          <t>Bagan akun GL 12 jenis dan tarif PPN/service langsung terisi</t>
        </is>
      </c>
      <c r="F420" s="13" t="inlineStr">
        <is>
          <t>A-19, TSD §6.2</t>
        </is>
      </c>
      <c r="G420" s="13" t="inlineStr"/>
      <c r="H420" s="13" t="inlineStr"/>
      <c r="I420" s="13" t="inlineStr"/>
    </row>
    <row r="421">
      <c r="A421" s="16" t="inlineStr">
        <is>
          <t>Uji Teknis (lingkup TSD)</t>
        </is>
      </c>
      <c r="B421" s="17" t="inlineStr">
        <is>
          <t>TC-TS-10</t>
        </is>
      </c>
      <c r="C421" s="18" t="inlineStr">
        <is>
          <t>P1</t>
        </is>
      </c>
      <c r="D421" s="16" t="inlineStr">
        <is>
          <t>Kosongkan satu nomor GL, lalu buat transaksi</t>
        </is>
      </c>
      <c r="E421" s="16" t="inlineStr">
        <is>
          <t>Jurnal untuk baris itu tidak terbentuk — pastikan gejalanya dikenali penguji</t>
        </is>
      </c>
      <c r="F421" s="16" t="inlineStr">
        <is>
          <t>TSD §6.2</t>
        </is>
      </c>
      <c r="G421" s="16" t="inlineStr"/>
      <c r="H421" s="16" t="inlineStr"/>
      <c r="I421" s="16" t="inlineStr"/>
    </row>
    <row r="422">
      <c r="A422" s="13" t="inlineStr">
        <is>
          <t>Uji Teknis (lingkup TSD)</t>
        </is>
      </c>
      <c r="B422" s="14" t="inlineStr">
        <is>
          <t>TC-TS-11</t>
        </is>
      </c>
      <c r="C422" s="19" t="inlineStr">
        <is>
          <t>P2</t>
        </is>
      </c>
      <c r="D422" s="13" t="inlineStr">
        <is>
          <t>Periksa push_outbox sesudah pengumuman terbit</t>
        </is>
      </c>
      <c r="E422" s="13" t="inlineStr">
        <is>
          <t>Baris masuk, lalu sent_at terisi</t>
        </is>
      </c>
      <c r="F422" s="13" t="inlineStr">
        <is>
          <t>TSD §8</t>
        </is>
      </c>
      <c r="G422" s="13" t="inlineStr"/>
      <c r="H422" s="13" t="inlineStr"/>
      <c r="I422" s="13" t="inlineStr"/>
    </row>
    <row r="423">
      <c r="A423" s="16" t="inlineStr">
        <is>
          <t>Uji Teknis (lingkup TSD)</t>
        </is>
      </c>
      <c r="B423" s="17" t="inlineStr">
        <is>
          <t>TC-TS-12</t>
        </is>
      </c>
      <c r="C423" s="20" t="inlineStr">
        <is>
          <t>P2</t>
        </is>
      </c>
      <c r="D423" s="16" t="inlineStr">
        <is>
          <t>Matikan sambungan, pakai aplikasi</t>
        </is>
      </c>
      <c r="E423" s="16" t="inlineStr">
        <is>
          <t>Katalog tetap tampil; pesanan tunai tetap bisa dibuat</t>
        </is>
      </c>
      <c r="F423" s="16" t="inlineStr">
        <is>
          <t>TSD §10, FSD §5.6</t>
        </is>
      </c>
      <c r="G423" s="16" t="inlineStr"/>
      <c r="H423" s="16" t="inlineStr"/>
      <c r="I423" s="16" t="inlineStr"/>
    </row>
    <row r="424">
      <c r="A424" s="13" t="inlineStr">
        <is>
          <t>Uji Teknis (lingkup TSD)</t>
        </is>
      </c>
      <c r="B424" s="14" t="inlineStr">
        <is>
          <t>TC-TS-13</t>
        </is>
      </c>
      <c r="C424" s="19" t="inlineStr">
        <is>
          <t>P2</t>
        </is>
      </c>
      <c r="D424" s="13" t="inlineStr">
        <is>
          <t>Sambungkan lagi</t>
        </is>
      </c>
      <c r="E424" s="13" t="inlineStr">
        <is>
          <t>Pesanan yang dibuat saat luring terkirim</t>
        </is>
      </c>
      <c r="F424" s="13" t="inlineStr">
        <is>
          <t>TSD §10</t>
        </is>
      </c>
      <c r="G424" s="13" t="inlineStr"/>
      <c r="H424" s="13" t="inlineStr"/>
      <c r="I424" s="13" t="inlineStr"/>
    </row>
    <row r="425">
      <c r="A425" s="16" t="inlineStr">
        <is>
          <t>Uji Teknis (lingkup TSD)</t>
        </is>
      </c>
      <c r="B425" s="17" t="inlineStr">
        <is>
          <t>TC-TS-14</t>
        </is>
      </c>
      <c r="C425" s="18" t="inlineStr">
        <is>
          <t>P1</t>
        </is>
      </c>
      <c r="D425" s="16" t="inlineStr">
        <is>
          <t>Coba bayar QRIS saat luring</t>
        </is>
      </c>
      <c r="E425" s="16" t="inlineStr">
        <is>
          <t>Ditolak dengan jelas — bukan menggantung tanpa kabar</t>
        </is>
      </c>
      <c r="F425" s="16" t="inlineStr">
        <is>
          <t>FSD §5.6</t>
        </is>
      </c>
      <c r="G425" s="16" t="inlineStr"/>
      <c r="H425" s="16" t="inlineStr"/>
      <c r="I425" s="16" t="inlineStr"/>
    </row>
    <row r="426">
      <c r="A426" s="13" t="inlineStr">
        <is>
          <t>Uji Teknis (lingkup TSD)</t>
        </is>
      </c>
      <c r="B426" s="14" t="inlineStr">
        <is>
          <t>TC-TS-15</t>
        </is>
      </c>
      <c r="C426" s="15" t="inlineStr">
        <is>
          <t>P1</t>
        </is>
      </c>
      <c r="D426" s="13" t="inlineStr">
        <is>
          <t>Panggil create-qris dengan nominal yang dipalsukan di badan permintaan</t>
        </is>
      </c>
      <c r="E426" s="13" t="inlineStr">
        <is>
          <t>Nominal yang dipakai tetap dari basis data</t>
        </is>
      </c>
      <c r="F426" s="13" t="inlineStr">
        <is>
          <t>TSD §7.1</t>
        </is>
      </c>
      <c r="G426" s="13" t="inlineStr"/>
      <c r="H426" s="13" t="inlineStr"/>
      <c r="I426" s="13" t="inlineStr"/>
    </row>
    <row r="427">
      <c r="A427" s="16" t="inlineStr">
        <is>
          <t>Uji Teknis (lingkup TSD)</t>
        </is>
      </c>
      <c r="B427" s="17" t="inlineStr">
        <is>
          <t>TC-TS-16</t>
        </is>
      </c>
      <c r="C427" s="18" t="inlineStr">
        <is>
          <t>P1</t>
        </is>
      </c>
      <c r="D427" s="16" t="inlineStr">
        <is>
          <t>Tandai pesanan lunas lewat API tanpa lewat webhook</t>
        </is>
      </c>
      <c r="E427" s="16" t="inlineStr">
        <is>
          <t>Ditolak</t>
        </is>
      </c>
      <c r="F427" s="16" t="inlineStr">
        <is>
          <t>F-PG-02, TSD §7.1</t>
        </is>
      </c>
      <c r="G427" s="16" t="inlineStr"/>
      <c r="H427" s="16" t="inlineStr"/>
      <c r="I427" s="16" t="inlineStr"/>
    </row>
    <row r="428">
      <c r="A428" s="13" t="inlineStr">
        <is>
          <t>Uji Teknis (lingkup TSD)</t>
        </is>
      </c>
      <c r="B428" s="14" t="inlineStr">
        <is>
          <t>TC-TS-17</t>
        </is>
      </c>
      <c r="C428" s="19" t="inlineStr">
        <is>
          <t>P2</t>
        </is>
      </c>
      <c r="D428" s="13" t="inlineStr">
        <is>
          <t>Bongkar APK, cari kunci Xendit/FCM/Resend</t>
        </is>
      </c>
      <c r="E428" s="13" t="inlineStr">
        <is>
          <t>Tidak ada satu pun kunci pengirim di dalamnya</t>
        </is>
      </c>
      <c r="F428" s="13" t="inlineStr">
        <is>
          <t>TSD §1.2</t>
        </is>
      </c>
      <c r="G428" s="13" t="inlineStr"/>
      <c r="H428" s="13" t="inlineStr"/>
      <c r="I428" s="13" t="inlineStr"/>
    </row>
    <row r="429">
      <c r="A429" s="16" t="inlineStr">
        <is>
          <t>Uji Teknis (lingkup TSD)</t>
        </is>
      </c>
      <c r="B429" s="17" t="inlineStr">
        <is>
          <t>TC-TS-18</t>
        </is>
      </c>
      <c r="C429" s="20" t="inlineStr">
        <is>
          <t>P2</t>
        </is>
      </c>
      <c r="D429" s="16" t="inlineStr">
        <is>
          <t>Pesanan berpindah status lunas lebih dari sekali</t>
        </is>
      </c>
      <c r="E429" s="16" t="inlineStr">
        <is>
          <t>Jurnalnya tetap satu set — tidak ada baris ganda</t>
        </is>
      </c>
      <c r="F429" s="16" t="inlineStr">
        <is>
          <t>TSD §6.5</t>
        </is>
      </c>
      <c r="G429" s="16" t="inlineStr"/>
      <c r="H429" s="16" t="inlineStr"/>
      <c r="I429" s="16" t="inlineStr"/>
    </row>
    <row r="430">
      <c r="A430" s="13" t="inlineStr">
        <is>
          <t>Uji Teknis (lingkup TSD)</t>
        </is>
      </c>
      <c r="B430" s="14" t="inlineStr">
        <is>
          <t>TC-TS-19</t>
        </is>
      </c>
      <c r="C430" s="19" t="inlineStr">
        <is>
          <t>P2</t>
        </is>
      </c>
      <c r="D430" s="13" t="inlineStr">
        <is>
          <t>Hapus resto uji</t>
        </is>
      </c>
      <c r="E430" s="13" t="inlineStr">
        <is>
          <t>Seluruh isinya ikut terhapus, termasuk jurnalnya</t>
        </is>
      </c>
      <c r="F430" s="13" t="inlineStr">
        <is>
          <t>TSD §4.0</t>
        </is>
      </c>
      <c r="G430" s="13" t="inlineStr"/>
      <c r="H430" s="13" t="inlineStr"/>
      <c r="I430" s="13" t="inlineStr"/>
    </row>
    <row r="431">
      <c r="A431" s="16" t="inlineStr">
        <is>
          <t>Regresi — bug yang pernah terjadi</t>
        </is>
      </c>
      <c r="B431" s="17" t="inlineStr">
        <is>
          <t>TC-RG-01</t>
        </is>
      </c>
      <c r="C431" s="18" t="inlineStr">
        <is>
          <t>P1</t>
        </is>
      </c>
      <c r="D431" s="16" t="inlineStr">
        <is>
          <t>Nominal QRIS kasir memakai subtotal menu, bukan total tagihan</t>
        </is>
      </c>
      <c r="E431" s="16" t="inlineStr">
        <is>
          <t>Nominal di layar QRIS = total termasuk service dan PPN</t>
        </is>
      </c>
      <c r="F431" s="16" t="inlineStr">
        <is>
          <t>F-KS-09</t>
        </is>
      </c>
      <c r="G431" s="16" t="inlineStr"/>
      <c r="H431" s="16" t="inlineStr"/>
      <c r="I431" s="16" t="inlineStr"/>
    </row>
    <row r="432">
      <c r="A432" s="13" t="inlineStr">
        <is>
          <t>Regresi — bug yang pernah terjadi</t>
        </is>
      </c>
      <c r="B432" s="14" t="inlineStr">
        <is>
          <t>TC-RG-02</t>
        </is>
      </c>
      <c r="C432" s="15" t="inlineStr">
        <is>
          <t>P1</t>
        </is>
      </c>
      <c r="D432" s="13" t="inlineStr">
        <is>
          <t>Pesanan dilunasi lewat QRIS hilang dari Riwayat Kasir</t>
        </is>
      </c>
      <c r="E432" s="13" t="inlineStr">
        <is>
          <t>Semua cara bayar masuk Riwayat Kasir</t>
        </is>
      </c>
      <c r="F432" s="13" t="inlineStr">
        <is>
          <t>F-PP-09, A-13</t>
        </is>
      </c>
      <c r="G432" s="13" t="inlineStr"/>
      <c r="H432" s="13" t="inlineStr"/>
      <c r="I432" s="13" t="inlineStr"/>
    </row>
    <row r="433">
      <c r="A433" s="16" t="inlineStr">
        <is>
          <t>Regresi — bug yang pernah terjadi</t>
        </is>
      </c>
      <c r="B433" s="17" t="inlineStr">
        <is>
          <t>TC-RG-03</t>
        </is>
      </c>
      <c r="C433" s="18" t="inlineStr">
        <is>
          <t>P1</t>
        </is>
      </c>
      <c r="D433" s="16" t="inlineStr">
        <is>
          <t>Pesanan dibatalkan tampil "Menunggu Pembayaran" di Pesanan Masuk</t>
        </is>
      </c>
      <c r="E433" s="16" t="inlineStr">
        <is>
          <t>Tidak muncul sama sekali</t>
        </is>
      </c>
      <c r="F433" s="16" t="inlineStr">
        <is>
          <t>A-17</t>
        </is>
      </c>
      <c r="G433" s="16" t="inlineStr"/>
      <c r="H433" s="16" t="inlineStr"/>
      <c r="I433" s="16" t="inlineStr"/>
    </row>
    <row r="434">
      <c r="A434" s="13" t="inlineStr">
        <is>
          <t>Regresi — bug yang pernah terjadi</t>
        </is>
      </c>
      <c r="B434" s="14" t="inlineStr">
        <is>
          <t>TC-RG-04</t>
        </is>
      </c>
      <c r="C434" s="15" t="inlineStr">
        <is>
          <t>P1</t>
        </is>
      </c>
      <c r="D434" s="13" t="inlineStr">
        <is>
          <t>Top up Rp 100.000 tercatat Rp 200.000 di jurnal</t>
        </is>
      </c>
      <c r="E434" s="13" t="inlineStr">
        <is>
          <t>Nominalnya sama dengan yang diajukan</t>
        </is>
      </c>
      <c r="F434" s="13" t="inlineStr">
        <is>
          <t>F-FN-03</t>
        </is>
      </c>
      <c r="G434" s="13" t="inlineStr"/>
      <c r="H434" s="13" t="inlineStr"/>
      <c r="I434" s="13" t="inlineStr"/>
    </row>
    <row r="435">
      <c r="A435" s="16" t="inlineStr">
        <is>
          <t>Regresi — bug yang pernah terjadi</t>
        </is>
      </c>
      <c r="B435" s="17" t="inlineStr">
        <is>
          <t>TC-RG-05</t>
        </is>
      </c>
      <c r="C435" s="18" t="inlineStr">
        <is>
          <t>P1</t>
        </is>
      </c>
      <c r="D435" s="16" t="inlineStr">
        <is>
          <t>Diskon tidak berlaku untuk pesanan mandiri pelanggan</t>
        </is>
      </c>
      <c r="E435" s="16" t="inlineStr">
        <is>
          <t>Berlaku sama di kasir dan HP pelanggan</t>
        </is>
      </c>
      <c r="F435" s="16" t="inlineStr">
        <is>
          <t>A-14</t>
        </is>
      </c>
      <c r="G435" s="16" t="inlineStr"/>
      <c r="H435" s="16" t="inlineStr"/>
      <c r="I435" s="16" t="inlineStr"/>
    </row>
    <row r="436">
      <c r="A436" s="13" t="inlineStr">
        <is>
          <t>Regresi — bug yang pernah terjadi</t>
        </is>
      </c>
      <c r="B436" s="14" t="inlineStr">
        <is>
          <t>TC-RG-06</t>
        </is>
      </c>
      <c r="C436" s="15" t="inlineStr">
        <is>
          <t>P1</t>
        </is>
      </c>
      <c r="D436" s="13" t="inlineStr">
        <is>
          <t>Promo "beli 2" lolos oleh keranjang berisi dua menu berbeda</t>
        </is>
      </c>
      <c r="E436" s="13" t="inlineStr">
        <is>
          <t>Syarat jumlah dihitung per menu, dan seluruhnya harus terpenuhi</t>
        </is>
      </c>
      <c r="F436" s="13" t="inlineStr">
        <is>
          <t>F-DS-10, F-DS-12</t>
        </is>
      </c>
      <c r="G436" s="13" t="inlineStr"/>
      <c r="H436" s="13" t="inlineStr"/>
      <c r="I436" s="13" t="inlineStr"/>
    </row>
    <row r="437">
      <c r="A437" s="16" t="inlineStr">
        <is>
          <t>Regresi — bug yang pernah terjadi</t>
        </is>
      </c>
      <c r="B437" s="17" t="inlineStr">
        <is>
          <t>TC-RG-07</t>
        </is>
      </c>
      <c r="C437" s="20" t="inlineStr">
        <is>
          <t>P2</t>
        </is>
      </c>
      <c r="D437" s="16" t="inlineStr">
        <is>
          <t>Tombol pilih/hapus di kotak masuk tidak bereaksi sama sekali</t>
        </is>
      </c>
      <c r="E437" s="16" t="inlineStr">
        <is>
          <t>Bekerja di kotak masuk karyawan dan pelanggan</t>
        </is>
      </c>
      <c r="F437" s="16" t="inlineStr">
        <is>
          <t>F-IN-15</t>
        </is>
      </c>
      <c r="G437" s="16" t="inlineStr"/>
      <c r="H437" s="16" t="inlineStr"/>
      <c r="I437" s="16" t="inlineStr"/>
    </row>
    <row r="438">
      <c r="A438" s="13" t="inlineStr">
        <is>
          <t>Regresi — bug yang pernah terjadi</t>
        </is>
      </c>
      <c r="B438" s="14" t="inlineStr">
        <is>
          <t>TC-RG-08</t>
        </is>
      </c>
      <c r="C438" s="19" t="inlineStr">
        <is>
          <t>P2</t>
        </is>
      </c>
      <c r="D438" s="13" t="inlineStr">
        <is>
          <t>Layar Diskon dari hub Kasir menyebut "Belum ada produk di resto ini"</t>
        </is>
      </c>
      <c r="E438" s="13" t="inlineStr">
        <is>
          <t>Daftar menu termuat</t>
        </is>
      </c>
      <c r="F438" s="13" t="inlineStr">
        <is>
          <t>F-DS-01</t>
        </is>
      </c>
      <c r="G438" s="13" t="inlineStr"/>
      <c r="H438" s="13" t="inlineStr"/>
      <c r="I438" s="13" t="inlineStr"/>
    </row>
    <row r="439">
      <c r="A439" s="16" t="inlineStr">
        <is>
          <t>Regresi — bug yang pernah terjadi</t>
        </is>
      </c>
      <c r="B439" s="17" t="inlineStr">
        <is>
          <t>TC-RG-09</t>
        </is>
      </c>
      <c r="C439" s="20" t="inlineStr">
        <is>
          <t>P2</t>
        </is>
      </c>
      <c r="D439" s="16" t="inlineStr">
        <is>
          <t>Kasir tidak bisa membuka detail jurnal — terlihat seperti GL belum dipetakan</t>
        </is>
      </c>
      <c r="E439" s="16" t="inlineStr">
        <is>
          <t>Detail jurnal terbuka</t>
        </is>
      </c>
      <c r="F439" s="16" t="inlineStr">
        <is>
          <t>F-KS-13</t>
        </is>
      </c>
      <c r="G439" s="16" t="inlineStr"/>
      <c r="H439" s="16" t="inlineStr"/>
      <c r="I439" s="16" t="inlineStr"/>
    </row>
    <row r="440">
      <c r="A440" s="13" t="inlineStr">
        <is>
          <t>Regresi — bug yang pernah terjadi</t>
        </is>
      </c>
      <c r="B440" s="14" t="inlineStr">
        <is>
          <t>TC-RG-10</t>
        </is>
      </c>
      <c r="C440" s="19" t="inlineStr">
        <is>
          <t>P2</t>
        </is>
      </c>
      <c r="D440" s="13" t="inlineStr">
        <is>
          <t>Layar dapur meninggalkan jejak warna lama saat tema diganti</t>
        </is>
      </c>
      <c r="E440" s="13" t="inlineStr">
        <is>
          <t>Seluruh layar berganti bersih</t>
        </is>
      </c>
      <c r="F440" s="13" t="inlineStr">
        <is>
          <t>A-18</t>
        </is>
      </c>
      <c r="G440" s="13" t="inlineStr"/>
      <c r="H440" s="13" t="inlineStr"/>
      <c r="I440" s="13" t="inlineStr"/>
    </row>
    <row r="441">
      <c r="A441" s="16" t="inlineStr">
        <is>
          <t>Regresi — bug yang pernah terjadi</t>
        </is>
      </c>
      <c r="B441" s="17" t="inlineStr">
        <is>
          <t>TC-RG-11</t>
        </is>
      </c>
      <c r="C441" s="20" t="inlineStr">
        <is>
          <t>P2</t>
        </is>
      </c>
      <c r="D441" s="16" t="inlineStr">
        <is>
          <t>Banner promo menempel di atas, tidak ikut tergulir</t>
        </is>
      </c>
      <c r="E441" s="16" t="inlineStr">
        <is>
          <t>Ikut tergulir bersama menunya</t>
        </is>
      </c>
      <c r="F441" s="16" t="inlineStr">
        <is>
          <t>F-CU-16, A-12</t>
        </is>
      </c>
      <c r="G441" s="16" t="inlineStr"/>
      <c r="H441" s="16" t="inlineStr"/>
      <c r="I441" s="16" t="inlineStr"/>
    </row>
    <row r="442">
      <c r="A442" s="13" t="inlineStr">
        <is>
          <t>Regresi — bug yang pernah terjadi</t>
        </is>
      </c>
      <c r="B442" s="14" t="inlineStr">
        <is>
          <t>TC-RG-12</t>
        </is>
      </c>
      <c r="C442" s="19" t="inlineStr">
        <is>
          <t>P2</t>
        </is>
      </c>
      <c r="D442" s="13" t="inlineStr">
        <is>
          <t>Owner hanya bisa melihat Info Pembayaran</t>
        </is>
      </c>
      <c r="E442" s="13" t="inlineStr">
        <is>
          <t>Owner bisa mengubahnya</t>
        </is>
      </c>
      <c r="F442" s="13" t="inlineStr">
        <is>
          <t>F-SD-02</t>
        </is>
      </c>
      <c r="G442" s="13" t="inlineStr"/>
      <c r="H442" s="13" t="inlineStr"/>
      <c r="I442" s="13" t="inlineStr"/>
    </row>
    <row r="443">
      <c r="A443" s="16" t="inlineStr">
        <is>
          <t>Regresi — bug yang pernah terjadi</t>
        </is>
      </c>
      <c r="B443" s="17" t="inlineStr">
        <is>
          <t>TC-RG-13</t>
        </is>
      </c>
      <c r="C443" s="18" t="inlineStr">
        <is>
          <t>P1</t>
        </is>
      </c>
      <c r="D443" s="16" t="inlineStr">
        <is>
          <t>Migrasi gagal: daftar nilai batasan menyempit saat berkas lama dijalankan ulang</t>
        </is>
      </c>
      <c r="E443" s="16" t="inlineStr">
        <is>
          <t>Menjalankan ulang berkas mana pun tidak pernah menolak data yang sudah ada</t>
        </is>
      </c>
      <c r="F443" s="16" t="inlineStr">
        <is>
          <t>TSD §11.1</t>
        </is>
      </c>
      <c r="G443" s="16" t="inlineStr"/>
      <c r="H443" s="16" t="inlineStr"/>
      <c r="I443" s="16" t="inlineStr"/>
    </row>
    <row r="444">
      <c r="A444" s="13" t="inlineStr">
        <is>
          <t>Regresi — bug yang pernah terjadi</t>
        </is>
      </c>
      <c r="B444" s="14" t="inlineStr">
        <is>
          <t>TC-RG-14</t>
        </is>
      </c>
      <c r="C444" s="19" t="inlineStr">
        <is>
          <t>P2</t>
        </is>
      </c>
      <c r="D444" s="13" t="inlineStr">
        <is>
          <t>QR meja borongan bernomor 07, berbeda dengan mode satu meja</t>
        </is>
      </c>
      <c r="E444" s="13" t="inlineStr">
        <is>
          <t>Keduanya menulis 7</t>
        </is>
      </c>
      <c r="F444" s="13" t="inlineStr">
        <is>
          <t>F-QR-07</t>
        </is>
      </c>
      <c r="G444" s="13" t="inlineStr"/>
      <c r="H444" s="13" t="inlineStr"/>
      <c r="I444" s="13" t="inlineStr"/>
    </row>
    <row r="445">
      <c r="A445" s="16" t="inlineStr">
        <is>
          <t>Uji Ujung-ke-Ujung</t>
        </is>
      </c>
      <c r="B445" s="17" t="inlineStr">
        <is>
          <t>E2E-09</t>
        </is>
      </c>
      <c r="C445" s="18" t="inlineStr">
        <is>
          <t>P1</t>
        </is>
      </c>
      <c r="D445" s="16" t="inlineStr">
        <is>
          <t>Satu siklus langganan penuh</t>
        </is>
      </c>
      <c r="E445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445" s="16" t="inlineStr">
        <is>
          <t>F-BL-07 … F-BL-18, TSD §7.3</t>
        </is>
      </c>
      <c r="G445" s="16" t="inlineStr"/>
      <c r="H445" s="16" t="inlineStr"/>
      <c r="I445" s="16" t="inlineStr"/>
    </row>
    <row r="446">
      <c r="A446" s="13" t="inlineStr">
        <is>
          <t>Uji Ujung-ke-Ujung</t>
        </is>
      </c>
      <c r="B446" s="14" t="inlineStr">
        <is>
          <t>E2E-01</t>
        </is>
      </c>
      <c r="C446" s="15" t="inlineStr">
        <is>
          <t>P1</t>
        </is>
      </c>
      <c r="D446" s="13" t="inlineStr">
        <is>
          <t>Pelanggan bayar QRIS</t>
        </is>
      </c>
      <c r="E446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446" s="13" t="inlineStr">
        <is>
          <t>F-CU-09, F-PG-02, F-CH-06, TSD §6, TSD §7.1</t>
        </is>
      </c>
      <c r="G446" s="13" t="inlineStr"/>
      <c r="H446" s="13" t="inlineStr"/>
      <c r="I446" s="13" t="inlineStr"/>
    </row>
    <row r="447">
      <c r="A447" s="16" t="inlineStr">
        <is>
          <t>Uji Ujung-ke-Ujung</t>
        </is>
      </c>
      <c r="B447" s="17" t="inlineStr">
        <is>
          <t>E2E-02</t>
        </is>
      </c>
      <c r="C447" s="18" t="inlineStr">
        <is>
          <t>P1</t>
        </is>
      </c>
      <c r="D447" s="16" t="inlineStr">
        <is>
          <t>Pelanggan bayar tunai di kasir</t>
        </is>
      </c>
      <c r="E447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447" s="16" t="inlineStr">
        <is>
          <t>F-CU-09, F-PP-01, F-PP-06, F-PP-07, F-CH-06, A-02, A-13</t>
        </is>
      </c>
      <c r="G447" s="16" t="inlineStr"/>
      <c r="H447" s="16" t="inlineStr"/>
      <c r="I447" s="16" t="inlineStr"/>
    </row>
    <row r="448">
      <c r="A448" s="13" t="inlineStr">
        <is>
          <t>Uji Ujung-ke-Ujung</t>
        </is>
      </c>
      <c r="B448" s="14" t="inlineStr">
        <is>
          <t>E2E-03</t>
        </is>
      </c>
      <c r="C448" s="15" t="inlineStr">
        <is>
          <t>P1</t>
        </is>
      </c>
      <c r="D448" s="13" t="inlineStr">
        <is>
          <t>Tunai dengan cara bayar diganti</t>
        </is>
      </c>
      <c r="E448" s="13" t="inlineStr">
        <is>
          <t>1. Ulangi E2E-02, tapi pada langkah 4 ganti cara bayarnya ke QRIS.
2. Pesanannya harus tetap masuk Riwayat Kasir, dan masuk Non Cash
3. di Saldo.</t>
        </is>
      </c>
      <c r="F448" s="13" t="inlineStr">
        <is>
          <t>F-PP-09, A-13, TSD §4.2</t>
        </is>
      </c>
      <c r="G448" s="13" t="inlineStr"/>
      <c r="H448" s="13" t="inlineStr"/>
      <c r="I448" s="13" t="inlineStr"/>
    </row>
    <row r="449">
      <c r="A449" s="16" t="inlineStr">
        <is>
          <t>Uji Ujung-ke-Ujung</t>
        </is>
      </c>
      <c r="B449" s="17" t="inlineStr">
        <is>
          <t>E2E-04</t>
        </is>
      </c>
      <c r="C449" s="18" t="inlineStr">
        <is>
          <t>P1</t>
        </is>
      </c>
      <c r="D449" s="16" t="inlineStr">
        <is>
          <t>Setor tunai ke rekening</t>
        </is>
      </c>
      <c r="E449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449" s="16" t="inlineStr">
        <is>
          <t>F-SD-01, F-SD-05, A-05, TSD §6.4</t>
        </is>
      </c>
      <c r="G449" s="16" t="inlineStr"/>
      <c r="H449" s="16" t="inlineStr"/>
      <c r="I449" s="16" t="inlineStr"/>
    </row>
    <row r="450">
      <c r="A450" s="13" t="inlineStr">
        <is>
          <t>Uji Ujung-ke-Ujung</t>
        </is>
      </c>
      <c r="B450" s="14" t="inlineStr">
        <is>
          <t>E2E-05</t>
        </is>
      </c>
      <c r="C450" s="15" t="inlineStr">
        <is>
          <t>P1</t>
        </is>
      </c>
      <c r="D450" s="13" t="inlineStr">
        <is>
          <t>Top up petty cash</t>
        </is>
      </c>
      <c r="E450" s="13" t="inlineStr">
        <is>
          <t>1. Sama polanya dengan E2E-04, lewat GL Suspense Petty Cash. Top up
2. Rp 100.000 harus menambah Petty Cash Rp 100.000 — bukan Rp 200.000.</t>
        </is>
      </c>
      <c r="F450" s="13" t="inlineStr">
        <is>
          <t>F-FN-03, TSD §6.4</t>
        </is>
      </c>
      <c r="G450" s="13" t="inlineStr"/>
      <c r="H450" s="13" t="inlineStr"/>
      <c r="I450" s="13" t="inlineStr"/>
    </row>
    <row r="451">
      <c r="A451" s="16" t="inlineStr">
        <is>
          <t>Uji Ujung-ke-Ujung</t>
        </is>
      </c>
      <c r="B451" s="17" t="inlineStr">
        <is>
          <t>E2E-06</t>
        </is>
      </c>
      <c r="C451" s="18" t="inlineStr">
        <is>
          <t>P1</t>
        </is>
      </c>
      <c r="D451" s="16" t="inlineStr">
        <is>
          <t>Promo bundling dari HP pelanggan</t>
        </is>
      </c>
      <c r="E451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451" s="16" t="inlineStr">
        <is>
          <t>F-DS-10, F-DS-12, F-CU-17, F-DS-08, F-DS-09, A-14</t>
        </is>
      </c>
      <c r="G451" s="16" t="inlineStr"/>
      <c r="H451" s="16" t="inlineStr"/>
      <c r="I451" s="16" t="inlineStr"/>
    </row>
    <row r="452">
      <c r="A452" s="13" t="inlineStr">
        <is>
          <t>Uji Ujung-ke-Ujung</t>
        </is>
      </c>
      <c r="B452" s="14" t="inlineStr">
        <is>
          <t>E2E-07</t>
        </is>
      </c>
      <c r="C452" s="15" t="inlineStr">
        <is>
          <t>P1</t>
        </is>
      </c>
      <c r="D452" s="13" t="inlineStr">
        <is>
          <t>Pembatalan oleh pelanggan</t>
        </is>
      </c>
      <c r="E452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452" s="13" t="inlineStr">
        <is>
          <t>F-CN-01, A-17</t>
        </is>
      </c>
      <c r="G452" s="13" t="inlineStr"/>
      <c r="H452" s="13" t="inlineStr"/>
      <c r="I452" s="13" t="inlineStr"/>
    </row>
    <row r="453">
      <c r="A453" s="16" t="inlineStr">
        <is>
          <t>Uji Ujung-ke-Ujung</t>
        </is>
      </c>
      <c r="B453" s="17" t="inlineStr">
        <is>
          <t>E2E-08</t>
        </is>
      </c>
      <c r="C453" s="18" t="inlineStr">
        <is>
          <t>P1</t>
        </is>
      </c>
      <c r="D453" s="16" t="inlineStr">
        <is>
          <t>Isolasi antar cabang</t>
        </is>
      </c>
      <c r="E453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453" s="16" t="inlineStr">
        <is>
          <t>F-AD-08, F-IN-10, A-10</t>
        </is>
      </c>
      <c r="G453" s="16" t="inlineStr"/>
      <c r="H453" s="16" t="inlineStr"/>
      <c r="I453" s="16" t="inlineStr"/>
    </row>
  </sheetData>
  <autoFilter ref="A1:I453"/>
  <dataValidations count="1">
    <dataValidation sqref="G2:G453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2026-08-17T19:03:39Z</dcterms:created>
  <dcterms:modified xsi:type="dcterms:W3CDTF">2026-08-17T19:03:40Z</dcterms:modified>
</cp:coreProperties>
</file>