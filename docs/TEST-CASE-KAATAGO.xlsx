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Uji'!$A$1:$I$308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Uji'!C2:C308,"P1")</f>
        <v/>
      </c>
      <c r="C5" s="5">
        <f>COUNTIFS('Kasus Uji'!C2:C308,"P1",'Kasus Uji'!G2:G308,"Lulus")</f>
        <v/>
      </c>
      <c r="D5" s="5">
        <f>COUNTIFS('Kasus Uji'!C2:C308,"P1",'Kasus Uji'!G2:G308,"Gagal")</f>
        <v/>
      </c>
      <c r="E5" s="5">
        <f>COUNTIFS('Kasus Uji'!C2:C308,"P1",'Kasus Uji'!G2:G308,"Terblokir")</f>
        <v/>
      </c>
      <c r="F5" s="5">
        <f>COUNTIFS('Kasus Uji'!C2:C308,"P1",'Kasus Uji'!G2:G308,"Dilewati")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Uji'!C2:C308,"P2")</f>
        <v/>
      </c>
      <c r="C6" s="5">
        <f>COUNTIFS('Kasus Uji'!C2:C308,"P2",'Kasus Uji'!G2:G308,"Lulus")</f>
        <v/>
      </c>
      <c r="D6" s="5">
        <f>COUNTIFS('Kasus Uji'!C2:C308,"P2",'Kasus Uji'!G2:G308,"Gagal")</f>
        <v/>
      </c>
      <c r="E6" s="5">
        <f>COUNTIFS('Kasus Uji'!C2:C308,"P2",'Kasus Uji'!G2:G308,"Terblokir")</f>
        <v/>
      </c>
      <c r="F6" s="5">
        <f>COUNTIFS('Kasus Uji'!C2:C308,"P2",'Kasus Uji'!G2:G308,"Dilewati")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Uji'!C2:C308,"P3")</f>
        <v/>
      </c>
      <c r="C7" s="5">
        <f>COUNTIFS('Kasus Uji'!C2:C308,"P3",'Kasus Uji'!G2:G308,"Lulus")</f>
        <v/>
      </c>
      <c r="D7" s="5">
        <f>COUNTIFS('Kasus Uji'!C2:C308,"P3",'Kasus Uji'!G2:G308,"Gagal")</f>
        <v/>
      </c>
      <c r="E7" s="5">
        <f>COUNTIFS('Kasus Uji'!C2:C308,"P3",'Kasus Uji'!G2:G308,"Terblokir")</f>
        <v/>
      </c>
      <c r="F7" s="5">
        <f>COUNTIFS('Kasus Uji'!C2:C308,"P3",'Kasus Uji'!G2:G308,"Dilewati")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Uji'!A2:A308,"Pelanggan")</f>
        <v/>
      </c>
      <c r="C12" s="5">
        <f>COUNTIFS('Kasus Uji'!A2:A308,"Pelanggan",'Kasus Uji'!G2:G308,"Lulus")</f>
        <v/>
      </c>
      <c r="D12" s="5">
        <f>COUNTIFS('Kasus Uji'!A2:A308,"Pelanggan",'Kasus Uji'!G2:G308,"Gagal")</f>
        <v/>
      </c>
      <c r="E12" s="5">
        <f>COUNTIFS('Kasus Uji'!A2:A308,"Pelanggan",'Kasus Uji'!G2:G308,"Terblokir")</f>
        <v/>
      </c>
      <c r="F12" s="5">
        <f>COUNTIFS('Kasus Uji'!A2:A308,"Pelanggan",'Kasus Uji'!G2:G308,"Dilewati")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Uji'!A2:A308,"Kasir")</f>
        <v/>
      </c>
      <c r="C13" s="5">
        <f>COUNTIFS('Kasus Uji'!A2:A308,"Kasir",'Kasus Uji'!G2:G308,"Lulus")</f>
        <v/>
      </c>
      <c r="D13" s="5">
        <f>COUNTIFS('Kasus Uji'!A2:A308,"Kasir",'Kasus Uji'!G2:G308,"Gagal")</f>
        <v/>
      </c>
      <c r="E13" s="5">
        <f>COUNTIFS('Kasus Uji'!A2:A308,"Kasir",'Kasus Uji'!G2:G308,"Terblokir")</f>
        <v/>
      </c>
      <c r="F13" s="5">
        <f>COUNTIFS('Kasus Uji'!A2:A308,"Kasir",'Kasus Uji'!G2:G308,"Dilewati")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Uji'!A2:A308,"Pending Payment")</f>
        <v/>
      </c>
      <c r="C14" s="5">
        <f>COUNTIFS('Kasus Uji'!A2:A308,"Pending Payment",'Kasus Uji'!G2:G308,"Lulus")</f>
        <v/>
      </c>
      <c r="D14" s="5">
        <f>COUNTIFS('Kasus Uji'!A2:A308,"Pending Payment",'Kasus Uji'!G2:G308,"Gagal")</f>
        <v/>
      </c>
      <c r="E14" s="5">
        <f>COUNTIFS('Kasus Uji'!A2:A308,"Pending Payment",'Kasus Uji'!G2:G308,"Terblokir")</f>
        <v/>
      </c>
      <c r="F14" s="5">
        <f>COUNTIFS('Kasus Uji'!A2:A308,"Pending Payment",'Kasus Uji'!G2:G308,"Dilewati")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Uji'!A2:A308,"Dapur")</f>
        <v/>
      </c>
      <c r="C15" s="5">
        <f>COUNTIFS('Kasus Uji'!A2:A308,"Dapur",'Kasus Uji'!G2:G308,"Lulus")</f>
        <v/>
      </c>
      <c r="D15" s="5">
        <f>COUNTIFS('Kasus Uji'!A2:A308,"Dapur",'Kasus Uji'!G2:G308,"Gagal")</f>
        <v/>
      </c>
      <c r="E15" s="5">
        <f>COUNTIFS('Kasus Uji'!A2:A308,"Dapur",'Kasus Uji'!G2:G308,"Terblokir")</f>
        <v/>
      </c>
      <c r="F15" s="5">
        <f>COUNTIFS('Kasus Uji'!A2:A308,"Dapur",'Kasus Uji'!G2:G308,"Dilewati")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Uji'!A2:A308,"Keuangan")</f>
        <v/>
      </c>
      <c r="C16" s="5">
        <f>COUNTIFS('Kasus Uji'!A2:A308,"Keuangan",'Kasus Uji'!G2:G308,"Lulus")</f>
        <v/>
      </c>
      <c r="D16" s="5">
        <f>COUNTIFS('Kasus Uji'!A2:A308,"Keuangan",'Kasus Uji'!G2:G308,"Gagal")</f>
        <v/>
      </c>
      <c r="E16" s="5">
        <f>COUNTIFS('Kasus Uji'!A2:A308,"Keuangan",'Kasus Uji'!G2:G308,"Terblokir")</f>
        <v/>
      </c>
      <c r="F16" s="5">
        <f>COUNTIFS('Kasus Uji'!A2:A308,"Keuangan",'Kasus Uji'!G2:G308,"Dilewati")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Uji'!A2:A308,"Setor Saldo Cash")</f>
        <v/>
      </c>
      <c r="C17" s="5">
        <f>COUNTIFS('Kasus Uji'!A2:A308,"Setor Saldo Cash",'Kasus Uji'!G2:G308,"Lulus")</f>
        <v/>
      </c>
      <c r="D17" s="5">
        <f>COUNTIFS('Kasus Uji'!A2:A308,"Setor Saldo Cash",'Kasus Uji'!G2:G308,"Gagal")</f>
        <v/>
      </c>
      <c r="E17" s="5">
        <f>COUNTIFS('Kasus Uji'!A2:A308,"Setor Saldo Cash",'Kasus Uji'!G2:G308,"Terblokir")</f>
        <v/>
      </c>
      <c r="F17" s="5">
        <f>COUNTIFS('Kasus Uji'!A2:A308,"Setor Saldo Cash",'Kasus Uji'!G2:G308,"Dilewati")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Uji'!A2:A308,"Katalog &amp; Pengaturan")</f>
        <v/>
      </c>
      <c r="C18" s="5">
        <f>COUNTIFS('Kasus Uji'!A2:A308,"Katalog &amp; Pengaturan",'Kasus Uji'!G2:G308,"Lulus")</f>
        <v/>
      </c>
      <c r="D18" s="5">
        <f>COUNTIFS('Kasus Uji'!A2:A308,"Katalog &amp; Pengaturan",'Kasus Uji'!G2:G308,"Gagal")</f>
        <v/>
      </c>
      <c r="E18" s="5">
        <f>COUNTIFS('Kasus Uji'!A2:A308,"Katalog &amp; Pengaturan",'Kasus Uji'!G2:G308,"Terblokir")</f>
        <v/>
      </c>
      <c r="F18" s="5">
        <f>COUNTIFS('Kasus Uji'!A2:A308,"Katalog &amp; Pengaturan",'Kasus Uji'!G2:G308,"Dilewati")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Uji'!A2:A308,"QR Meja")</f>
        <v/>
      </c>
      <c r="C19" s="5">
        <f>COUNTIFS('Kasus Uji'!A2:A308,"QR Meja",'Kasus Uji'!G2:G308,"Lulus")</f>
        <v/>
      </c>
      <c r="D19" s="5">
        <f>COUNTIFS('Kasus Uji'!A2:A308,"QR Meja",'Kasus Uji'!G2:G308,"Gagal")</f>
        <v/>
      </c>
      <c r="E19" s="5">
        <f>COUNTIFS('Kasus Uji'!A2:A308,"QR Meja",'Kasus Uji'!G2:G308,"Terblokir")</f>
        <v/>
      </c>
      <c r="F19" s="5">
        <f>COUNTIFS('Kasus Uji'!A2:A308,"QR Meja",'Kasus Uji'!G2:G308,"Dilewati")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Uji'!A2:A308,"Diskon")</f>
        <v/>
      </c>
      <c r="C20" s="5">
        <f>COUNTIFS('Kasus Uji'!A2:A308,"Diskon",'Kasus Uji'!G2:G308,"Lulus")</f>
        <v/>
      </c>
      <c r="D20" s="5">
        <f>COUNTIFS('Kasus Uji'!A2:A308,"Diskon",'Kasus Uji'!G2:G308,"Gagal")</f>
        <v/>
      </c>
      <c r="E20" s="5">
        <f>COUNTIFS('Kasus Uji'!A2:A308,"Diskon",'Kasus Uji'!G2:G308,"Terblokir")</f>
        <v/>
      </c>
      <c r="F20" s="5">
        <f>COUNTIFS('Kasus Uji'!A2:A308,"Diskon",'Kasus Uji'!G2:G308,"Dilewati")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Uji'!A2:A308,"Kotak Masuk &amp; Pengumuman")</f>
        <v/>
      </c>
      <c r="C21" s="5">
        <f>COUNTIFS('Kasus Uji'!A2:A308,"Kotak Masuk &amp; Pengumuman",'Kasus Uji'!G2:G308,"Lulus")</f>
        <v/>
      </c>
      <c r="D21" s="5">
        <f>COUNTIFS('Kasus Uji'!A2:A308,"Kotak Masuk &amp; Pengumuman",'Kasus Uji'!G2:G308,"Gagal")</f>
        <v/>
      </c>
      <c r="E21" s="5">
        <f>COUNTIFS('Kasus Uji'!A2:A308,"Kotak Masuk &amp; Pengumuman",'Kasus Uji'!G2:G308,"Terblokir")</f>
        <v/>
      </c>
      <c r="F21" s="5">
        <f>COUNTIFS('Kasus Uji'!A2:A308,"Kotak Masuk &amp; Pengumuman",'Kasus Uji'!G2:G308,"Dilewati")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Uji'!A2:A308,"Pembayaran QRIS")</f>
        <v/>
      </c>
      <c r="C22" s="5">
        <f>COUNTIFS('Kasus Uji'!A2:A308,"Pembayaran QRIS",'Kasus Uji'!G2:G308,"Lulus")</f>
        <v/>
      </c>
      <c r="D22" s="5">
        <f>COUNTIFS('Kasus Uji'!A2:A308,"Pembayaran QRIS",'Kasus Uji'!G2:G308,"Gagal")</f>
        <v/>
      </c>
      <c r="E22" s="5">
        <f>COUNTIFS('Kasus Uji'!A2:A308,"Pembayaran QRIS",'Kasus Uji'!G2:G308,"Terblokir")</f>
        <v/>
      </c>
      <c r="F22" s="5">
        <f>COUNTIFS('Kasus Uji'!A2:A308,"Pembayaran QRIS",'Kasus Uji'!G2:G308,"Dilewati")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Uji'!A2:A308,"Pembatalan &amp; Kedaluwarsa")</f>
        <v/>
      </c>
      <c r="C23" s="5">
        <f>COUNTIFS('Kasus Uji'!A2:A308,"Pembatalan &amp; Kedaluwarsa",'Kasus Uji'!G2:G308,"Lulus")</f>
        <v/>
      </c>
      <c r="D23" s="5">
        <f>COUNTIFS('Kasus Uji'!A2:A308,"Pembatalan &amp; Kedaluwarsa",'Kasus Uji'!G2:G308,"Gagal")</f>
        <v/>
      </c>
      <c r="E23" s="5">
        <f>COUNTIFS('Kasus Uji'!A2:A308,"Pembatalan &amp; Kedaluwarsa",'Kasus Uji'!G2:G308,"Terblokir")</f>
        <v/>
      </c>
      <c r="F23" s="5">
        <f>COUNTIFS('Kasus Uji'!A2:A308,"Pembatalan &amp; Kedaluwarsa",'Kasus Uji'!G2:G308,"Dilewati")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Uji'!A2:A308,"Sesi Meja &amp; Identitas")</f>
        <v/>
      </c>
      <c r="C24" s="5">
        <f>COUNTIFS('Kasus Uji'!A2:A308,"Sesi Meja &amp; Identitas",'Kasus Uji'!G2:G308,"Lulus")</f>
        <v/>
      </c>
      <c r="D24" s="5">
        <f>COUNTIFS('Kasus Uji'!A2:A308,"Sesi Meja &amp; Identitas",'Kasus Uji'!G2:G308,"Gagal")</f>
        <v/>
      </c>
      <c r="E24" s="5">
        <f>COUNTIFS('Kasus Uji'!A2:A308,"Sesi Meja &amp; Identitas",'Kasus Uji'!G2:G308,"Terblokir")</f>
        <v/>
      </c>
      <c r="F24" s="5">
        <f>COUNTIFS('Kasus Uji'!A2:A308,"Sesi Meja &amp; Identitas",'Kasus Uji'!G2:G308,"Dilewati")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Uji'!A2:A308,"Tampilan")</f>
        <v/>
      </c>
      <c r="C25" s="5">
        <f>COUNTIFS('Kasus Uji'!A2:A308,"Tampilan",'Kasus Uji'!G2:G308,"Lulus")</f>
        <v/>
      </c>
      <c r="D25" s="5">
        <f>COUNTIFS('Kasus Uji'!A2:A308,"Tampilan",'Kasus Uji'!G2:G308,"Gagal")</f>
        <v/>
      </c>
      <c r="E25" s="5">
        <f>COUNTIFS('Kasus Uji'!A2:A308,"Tampilan",'Kasus Uji'!G2:G308,"Terblokir")</f>
        <v/>
      </c>
      <c r="F25" s="5">
        <f>COUNTIFS('Kasus Uji'!A2:A308,"Tampilan",'Kasus Uji'!G2:G308,"Dilewati")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Uji'!A2:A308,"Super Admin")</f>
        <v/>
      </c>
      <c r="C26" s="5">
        <f>COUNTIFS('Kasus Uji'!A2:A308,"Super Admin",'Kasus Uji'!G2:G308,"Lulus")</f>
        <v/>
      </c>
      <c r="D26" s="5">
        <f>COUNTIFS('Kasus Uji'!A2:A308,"Super Admin",'Kasus Uji'!G2:G308,"Gagal")</f>
        <v/>
      </c>
      <c r="E26" s="5">
        <f>COUNTIFS('Kasus Uji'!A2:A308,"Super Admin",'Kasus Uji'!G2:G308,"Terblokir")</f>
        <v/>
      </c>
      <c r="F26" s="5">
        <f>COUNTIFS('Kasus Uji'!A2:A308,"Super Admin",'Kasus Uji'!G2:G308,"Dilewati")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Uji'!A2:A308,"Pembaruan Aplikasi")</f>
        <v/>
      </c>
      <c r="C27" s="5">
        <f>COUNTIFS('Kasus Uji'!A2:A308,"Pembaruan Aplikasi",'Kasus Uji'!G2:G308,"Lulus")</f>
        <v/>
      </c>
      <c r="D27" s="5">
        <f>COUNTIFS('Kasus Uji'!A2:A308,"Pembaruan Aplikasi",'Kasus Uji'!G2:G308,"Gagal")</f>
        <v/>
      </c>
      <c r="E27" s="5">
        <f>COUNTIFS('Kasus Uji'!A2:A308,"Pembaruan Aplikasi",'Kasus Uji'!G2:G308,"Terblokir")</f>
        <v/>
      </c>
      <c r="F27" s="5">
        <f>COUNTIFS('Kasus Uji'!A2:A308,"Pembaruan Aplikasi",'Kasus Uji'!G2:G308,"Dilewati")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Uji'!A2:A308,"## 19b. Langganan &amp; Tagihan Resto")</f>
        <v/>
      </c>
      <c r="C28" s="5">
        <f>COUNTIFS('Kasus Uji'!A2:A308,"## 19b. Langganan &amp; Tagihan Resto",'Kasus Uji'!G2:G308,"Lulus")</f>
        <v/>
      </c>
      <c r="D28" s="5">
        <f>COUNTIFS('Kasus Uji'!A2:A308,"## 19b. Langganan &amp; Tagihan Resto",'Kasus Uji'!G2:G308,"Gagal")</f>
        <v/>
      </c>
      <c r="E28" s="5">
        <f>COUNTIFS('Kasus Uji'!A2:A308,"## 19b. Langganan &amp; Tagihan Resto",'Kasus Uji'!G2:G308,"Terblokir")</f>
        <v/>
      </c>
      <c r="F28" s="5">
        <f>COUNTIFS('Kasus Uji'!A2:A308,"## 19b. Langganan &amp; Tagihan Resto",'Kasus Uji'!G2:G308,"Dilewati")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Uji'!A2:A308,"## 19c. Finance KaataGo (Super Admin)")</f>
        <v/>
      </c>
      <c r="C29" s="5">
        <f>COUNTIFS('Kasus Uji'!A2:A308,"## 19c. Finance KaataGo (Super Admin)",'Kasus Uji'!G2:G308,"Lulus")</f>
        <v/>
      </c>
      <c r="D29" s="5">
        <f>COUNTIFS('Kasus Uji'!A2:A308,"## 19c. Finance KaataGo (Super Admin)",'Kasus Uji'!G2:G308,"Gagal")</f>
        <v/>
      </c>
      <c r="E29" s="5">
        <f>COUNTIFS('Kasus Uji'!A2:A308,"## 19c. Finance KaataGo (Super Admin)",'Kasus Uji'!G2:G308,"Terblokir")</f>
        <v/>
      </c>
      <c r="F29" s="5">
        <f>COUNTIFS('Kasus Uji'!A2:A308,"## 19c. Finance KaataGo (Super Admin)",'Kasus Uji'!G2:G308,"Dilewati")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Uji'!A2:A308,"Uji Teknis (lingkup TSD)")</f>
        <v/>
      </c>
      <c r="C30" s="5">
        <f>COUNTIFS('Kasus Uji'!A2:A308,"Uji Teknis (lingkup TSD)",'Kasus Uji'!G2:G308,"Lulus")</f>
        <v/>
      </c>
      <c r="D30" s="5">
        <f>COUNTIFS('Kasus Uji'!A2:A308,"Uji Teknis (lingkup TSD)",'Kasus Uji'!G2:G308,"Gagal")</f>
        <v/>
      </c>
      <c r="E30" s="5">
        <f>COUNTIFS('Kasus Uji'!A2:A308,"Uji Teknis (lingkup TSD)",'Kasus Uji'!G2:G308,"Terblokir")</f>
        <v/>
      </c>
      <c r="F30" s="5">
        <f>COUNTIFS('Kasus Uji'!A2:A308,"Uji Teknis (lingkup TSD)",'Kasus Uji'!G2:G308,"Dilewati")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Uji'!A2:A308,"Regresi — bug yang pernah terjadi")</f>
        <v/>
      </c>
      <c r="C31" s="5">
        <f>COUNTIFS('Kasus Uji'!A2:A308,"Regresi — bug yang pernah terjadi",'Kasus Uji'!G2:G308,"Lulus")</f>
        <v/>
      </c>
      <c r="D31" s="5">
        <f>COUNTIFS('Kasus Uji'!A2:A308,"Regresi — bug yang pernah terjadi",'Kasus Uji'!G2:G308,"Gagal")</f>
        <v/>
      </c>
      <c r="E31" s="5">
        <f>COUNTIFS('Kasus Uji'!A2:A308,"Regresi — bug yang pernah terjadi",'Kasus Uji'!G2:G308,"Terblokir")</f>
        <v/>
      </c>
      <c r="F31" s="5">
        <f>COUNTIFS('Kasus Uji'!A2:A308,"Regresi — bug yang pernah terjadi",'Kasus Uji'!G2:G308,"Dilewati")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Uji'!A2:A308,"Uji Ujung-ke-Ujung")</f>
        <v/>
      </c>
      <c r="C32" s="5">
        <f>COUNTIFS('Kasus Uji'!A2:A308,"Uji Ujung-ke-Ujung",'Kasus Uji'!G2:G308,"Lulus")</f>
        <v/>
      </c>
      <c r="D32" s="5">
        <f>COUNTIFS('Kasus Uji'!A2:A308,"Uji Ujung-ke-Ujung",'Kasus Uji'!G2:G308,"Gagal")</f>
        <v/>
      </c>
      <c r="E32" s="5">
        <f>COUNTIFS('Kasus Uji'!A2:A308,"Uji Ujung-ke-Ujung",'Kasus Uji'!G2:G308,"Terblokir")</f>
        <v/>
      </c>
      <c r="F32" s="5">
        <f>COUNTIFS('Kasus Uji'!A2:A308,"Uji Ujung-ke-Ujung",'Kasus Uji'!G2:G308,"Dilewati")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Super Admin</t>
        </is>
      </c>
      <c r="B195" s="17" t="inlineStr">
        <is>
          <t>TC-SA-07</t>
        </is>
      </c>
      <c r="C195" s="18" t="inlineStr">
        <is>
          <t>P1</t>
        </is>
      </c>
      <c r="D195" s="16" t="inlineStr">
        <is>
          <t>List Resto → hapus sebuah resto</t>
        </is>
      </c>
      <c r="E195" s="16" t="inlineStr">
        <is>
          <t>Hilang dari daftar; datanya tidak dibuang</t>
        </is>
      </c>
      <c r="F195" s="16" t="inlineStr">
        <is>
          <t>F-SA-07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TC-SA-08</t>
        </is>
      </c>
      <c r="C196" s="15" t="inlineStr">
        <is>
          <t>P1</t>
        </is>
      </c>
      <c r="D196" s="13" t="inlineStr">
        <is>
          <t>Buka Pilih Resto sebagai pelanggan</t>
        </is>
      </c>
      <c r="E196" s="13" t="inlineStr">
        <is>
          <t>Resto terhapus tidak muncul</t>
        </is>
      </c>
      <c r="F196" s="13" t="inlineStr">
        <is>
          <t>F-SA-10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TC-SA-09</t>
        </is>
      </c>
      <c r="C197" s="18" t="inlineStr">
        <is>
          <t>P1</t>
        </is>
      </c>
      <c r="D197" s="16" t="inlineStr">
        <is>
          <t>Pindai QR meja resto yang sudah dihapus, coba pesan</t>
        </is>
      </c>
      <c r="E197" s="16" t="inlineStr">
        <is>
          <t>Ditolak database, bukan hanya disembunyikan layarnya</t>
        </is>
      </c>
      <c r="F197" s="16" t="inlineStr">
        <is>
          <t>F-SA-10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TC-SA-10</t>
        </is>
      </c>
      <c r="C198" s="15" t="inlineStr">
        <is>
          <t>P1</t>
        </is>
      </c>
      <c r="D198" s="13" t="inlineStr">
        <is>
          <t>Coba ubah harga produk resto terhapus</t>
        </is>
      </c>
      <c r="E198" s="13" t="inlineStr">
        <is>
          <t>Ditolak</t>
        </is>
      </c>
      <c r="F198" s="13" t="inlineStr">
        <is>
          <t>F-SA-10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TC-SA-11</t>
        </is>
      </c>
      <c r="C199" s="18" t="inlineStr">
        <is>
          <t>P1</t>
        </is>
      </c>
      <c r="D199" s="16" t="inlineStr">
        <is>
          <t>Terbitkan tagihan setelah resto dihapus</t>
        </is>
      </c>
      <c r="E199" s="16" t="inlineStr">
        <is>
          <t>Tidak ada tagihan baru untuk resto itu</t>
        </is>
      </c>
      <c r="F199" s="16" t="inlineStr">
        <is>
          <t>F-SA-11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TC-SA-12</t>
        </is>
      </c>
      <c r="C200" s="15" t="inlineStr">
        <is>
          <t>P1</t>
        </is>
      </c>
      <c r="D200" s="13" t="inlineStr">
        <is>
          <t>Periksa tagihan lama resto terhapus</t>
        </is>
      </c>
      <c r="E200" s="13" t="inlineStr">
        <is>
          <t>Masih ada dan bisa ditelusuri</t>
        </is>
      </c>
      <c r="F200" s="13" t="inlineStr">
        <is>
          <t>F-SA-11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TC-SA-13</t>
        </is>
      </c>
      <c r="C201" s="20" t="inlineStr">
        <is>
          <t>P2</t>
        </is>
      </c>
      <c r="D201" s="16" t="inlineStr">
        <is>
          <t>Nyalakan saklar Tampilkan yang dihapus</t>
        </is>
      </c>
      <c r="E201" s="16" t="inlineStr">
        <is>
          <t>Resto terhapus muncul, hanya dengan tombol Kembalikan</t>
        </is>
      </c>
      <c r="F201" s="16" t="inlineStr">
        <is>
          <t>F-SA-09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TC-SA-14</t>
        </is>
      </c>
      <c r="C202" s="15" t="inlineStr">
        <is>
          <t>P1</t>
        </is>
      </c>
      <c r="D202" s="13" t="inlineStr">
        <is>
          <t>Ketuk Kembalikan</t>
        </is>
      </c>
      <c r="E202" s="13" t="inlineStr">
        <is>
          <t>Kembali ke daftar, tapi belum aktif — harus dinyalakan sendiri</t>
        </is>
      </c>
      <c r="F202" s="13" t="inlineStr">
        <is>
          <t>F-SA-08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TC-SA-15</t>
        </is>
      </c>
      <c r="C203" s="18" t="inlineStr">
        <is>
          <t>P1</t>
        </is>
      </c>
      <c r="D203" s="16" t="inlineStr">
        <is>
          <t>Coba hapus penyewa platform (KaataGo)</t>
        </is>
      </c>
      <c r="E203" s="16" t="inlineStr">
        <is>
          <t>Ditolak</t>
        </is>
      </c>
      <c r="F203" s="16" t="inlineStr">
        <is>
          <t>TSD §7.4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TC-SA-16</t>
        </is>
      </c>
      <c r="C204" s="15" t="inlineStr">
        <is>
          <t>P1</t>
        </is>
      </c>
      <c r="D204" s="13" t="inlineStr">
        <is>
          <t>Coba set_resto_deleted sebagai Owner resto</t>
        </is>
      </c>
      <c r="E204" s="13" t="inlineStr">
        <is>
          <t>Ditolak — hanya Super Admin</t>
        </is>
      </c>
      <c r="F204" s="13" t="inlineStr">
        <is>
          <t>F-SA-07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TC-SA-17</t>
        </is>
      </c>
      <c r="C205" s="20" t="inlineStr">
        <is>
          <t>P2</t>
        </is>
      </c>
      <c r="D205" s="16" t="inlineStr">
        <is>
          <t>Periksa baris resto terhapus di database</t>
        </is>
      </c>
      <c r="E205" s="16" t="inlineStr">
        <is>
          <t>deleted_by dan deleted_at terisi</t>
        </is>
      </c>
      <c r="F205" s="16" t="inlineStr">
        <is>
          <t>F-SA-12</t>
        </is>
      </c>
      <c r="G205" s="16" t="inlineStr"/>
      <c r="H205" s="16" t="inlineStr"/>
      <c r="I205" s="16" t="inlineStr"/>
    </row>
    <row r="206">
      <c r="A206" s="13" t="inlineStr">
        <is>
          <t>Pembaruan Aplikasi</t>
        </is>
      </c>
      <c r="B206" s="14" t="inlineStr">
        <is>
          <t>TC-UP-01</t>
        </is>
      </c>
      <c r="C206" s="19" t="inlineStr">
        <is>
          <t>P2</t>
        </is>
      </c>
      <c r="D206" s="13" t="inlineStr">
        <is>
          <t>Buka pengumuman versi → Unduh Versi Terbaru</t>
        </is>
      </c>
      <c r="E206" s="13" t="inlineStr">
        <is>
          <t>Unduhan mulai di dalam aplikasi, tidak membuka peramban</t>
        </is>
      </c>
      <c r="F206" s="13" t="inlineStr">
        <is>
          <t>F-UP-01, F-UP-02</t>
        </is>
      </c>
      <c r="G206" s="13" t="inlineStr"/>
      <c r="H206" s="13" t="inlineStr"/>
      <c r="I206" s="13" t="inlineStr"/>
    </row>
    <row r="207">
      <c r="A207" s="16" t="inlineStr">
        <is>
          <t>Pembaruan Aplikasi</t>
        </is>
      </c>
      <c r="B207" s="17" t="inlineStr">
        <is>
          <t>TC-UP-02</t>
        </is>
      </c>
      <c r="C207" s="20" t="inlineStr">
        <is>
          <t>P2</t>
        </is>
      </c>
      <c r="D207" s="16" t="inlineStr">
        <is>
          <t>Perhatikan bar notifikasi HP</t>
        </is>
      </c>
      <c r="E207" s="16" t="inlineStr">
        <is>
          <t>Kemajuannya tampil berikut persennya</t>
        </is>
      </c>
      <c r="F207" s="16" t="inlineStr">
        <is>
          <t>F-UP-03</t>
        </is>
      </c>
      <c r="G207" s="16" t="inlineStr"/>
      <c r="H207" s="16" t="inlineStr"/>
      <c r="I207" s="16" t="inlineStr"/>
    </row>
    <row r="208">
      <c r="A208" s="13" t="inlineStr">
        <is>
          <t>Pembaruan Aplikasi</t>
        </is>
      </c>
      <c r="B208" s="14" t="inlineStr">
        <is>
          <t>TC-UP-03</t>
        </is>
      </c>
      <c r="C208" s="19" t="inlineStr">
        <is>
          <t>P2</t>
        </is>
      </c>
      <c r="D208" s="13" t="inlineStr">
        <is>
          <t>Kunci HP saat unduhan berjalan, tunggu, buka lagi</t>
        </is>
      </c>
      <c r="E208" s="13" t="inlineStr">
        <is>
          <t>Unduhannya lanjut, tidak mengulang dari nol</t>
        </is>
      </c>
      <c r="F208" s="13" t="inlineStr">
        <is>
          <t>F-UP-04</t>
        </is>
      </c>
      <c r="G208" s="13" t="inlineStr"/>
      <c r="H208" s="13" t="inlineStr"/>
      <c r="I208" s="13" t="inlineStr"/>
    </row>
    <row r="209">
      <c r="A209" s="16" t="inlineStr">
        <is>
          <t>Pembaruan Aplikasi</t>
        </is>
      </c>
      <c r="B209" s="17" t="inlineStr">
        <is>
          <t>TC-UP-04</t>
        </is>
      </c>
      <c r="C209" s="20" t="inlineStr">
        <is>
          <t>P2</t>
        </is>
      </c>
      <c r="D209" s="16" t="inlineStr">
        <is>
          <t>Tekan tombol unduh lagi saat unduhan berjalan</t>
        </is>
      </c>
      <c r="E209" s="16" t="inlineStr">
        <is>
          <t>Muncul pilihan Batalkan atau Lanjutkan</t>
        </is>
      </c>
      <c r="F209" s="16" t="inlineStr">
        <is>
          <t>F-UP-05, F-IN-18</t>
        </is>
      </c>
      <c r="G209" s="16" t="inlineStr"/>
      <c r="H209" s="16" t="inlineStr"/>
      <c r="I209" s="16" t="inlineStr"/>
    </row>
    <row r="210">
      <c r="A210" s="13" t="inlineStr">
        <is>
          <t>Pembaruan Aplikasi</t>
        </is>
      </c>
      <c r="B210" s="14" t="inlineStr">
        <is>
          <t>TC-UP-05</t>
        </is>
      </c>
      <c r="C210" s="19" t="inlineStr">
        <is>
          <t>P2</t>
        </is>
      </c>
      <c r="D210" s="13" t="inlineStr">
        <is>
          <t>Pilih Batalkan</t>
        </is>
      </c>
      <c r="E210" s="13" t="inlineStr">
        <is>
          <t>Unduhan berhenti; tidak ditampilkan sebagai galat</t>
        </is>
      </c>
      <c r="F210" s="13" t="inlineStr">
        <is>
          <t>F-IN-19</t>
        </is>
      </c>
      <c r="G210" s="13" t="inlineStr"/>
      <c r="H210" s="13" t="inlineStr"/>
      <c r="I210" s="13" t="inlineStr"/>
    </row>
    <row r="211">
      <c r="A211" s="16" t="inlineStr">
        <is>
          <t>Pembaruan Aplikasi</t>
        </is>
      </c>
      <c r="B211" s="17" t="inlineStr">
        <is>
          <t>TC-UP-06</t>
        </is>
      </c>
      <c r="C211" s="20" t="inlineStr">
        <is>
          <t>P2</t>
        </is>
      </c>
      <c r="D211" s="16" t="inlineStr">
        <is>
          <t>Biarkan unduhan selesai</t>
        </is>
      </c>
      <c r="E211" s="16" t="inlineStr">
        <is>
          <t>Notifikasi "ketuk untuk memasang"; pemasang Android terbuka</t>
        </is>
      </c>
      <c r="F211" s="16" t="inlineStr">
        <is>
          <t>F-UP-06, F-IN-17</t>
        </is>
      </c>
      <c r="G211" s="16" t="inlineStr"/>
      <c r="H211" s="16" t="inlineStr"/>
      <c r="I211" s="16" t="inlineStr"/>
    </row>
    <row r="212">
      <c r="A212" s="13" t="inlineStr">
        <is>
          <t>Pembaruan Aplikasi</t>
        </is>
      </c>
      <c r="B212" s="14" t="inlineStr">
        <is>
          <t>TC-UP-07</t>
        </is>
      </c>
      <c r="C212" s="19" t="inlineStr">
        <is>
          <t>P2</t>
        </is>
      </c>
      <c r="D212" s="13" t="inlineStr">
        <is>
          <t>Matikan data seluler di tengah unduhan</t>
        </is>
      </c>
      <c r="E212" s="13" t="inlineStr">
        <is>
          <t>Pesannya menyebut masalah koneksi, satu kalimat, tanpa isi galat mentah</t>
        </is>
      </c>
      <c r="F212" s="13" t="inlineStr">
        <is>
          <t>F-UP-07, F-IN-19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TC-UP-08</t>
        </is>
      </c>
      <c r="C213" s="22" t="inlineStr">
        <is>
          <t>P3</t>
        </is>
      </c>
      <c r="D213" s="16" t="inlineStr">
        <is>
          <t>Penuhi penyimpanan HP, lalu unduh</t>
        </is>
      </c>
      <c r="E213" s="16" t="inlineStr">
        <is>
          <t>Pesannya menyebut penyimpanan penuh — dibedakan dari masalah koneksi</t>
        </is>
      </c>
      <c r="F213" s="16" t="inlineStr">
        <is>
          <t>F-UP-07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TC-UP-09</t>
        </is>
      </c>
      <c r="C214" s="21" t="inlineStr">
        <is>
          <t>P3</t>
        </is>
      </c>
      <c r="D214" s="13" t="inlineStr">
        <is>
          <t>Pakai jalur cadangan lewat peramban</t>
        </is>
      </c>
      <c r="E214" s="13" t="inlineStr">
        <is>
          <t>Berkasnya terunduh</t>
        </is>
      </c>
      <c r="F214" s="13" t="inlineStr">
        <is>
          <t>F-IN-06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TC-BL-01</t>
        </is>
      </c>
      <c r="C215" s="20" t="inlineStr">
        <is>
          <t>P2</t>
        </is>
      </c>
      <c r="D215" s="16" t="inlineStr">
        <is>
          <t>Super Admin → Billing Resto → atur harga dan tanggal untuk sebuah resto</t>
        </is>
      </c>
      <c r="E215" s="16" t="inlineStr">
        <is>
          <t>Tersimpan; kartu restonya menampilkan harga, tanggal, dan tenggangnya</t>
        </is>
      </c>
      <c r="F215" s="16" t="inlineStr">
        <is>
          <t>F-BL-01, F-BL-02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TC-BL-02</t>
        </is>
      </c>
      <c r="C216" s="19" t="inlineStr">
        <is>
          <t>P2</t>
        </is>
      </c>
      <c r="D216" s="13" t="inlineStr">
        <is>
          <t>Buat resto baru, buka Billing Resto</t>
        </is>
      </c>
      <c r="E216" s="13" t="inlineStr">
        <is>
          <t>Sudah punya barisnya sendiri, berstatus Gratis</t>
        </is>
      </c>
      <c r="F216" s="13" t="inlineStr">
        <is>
          <t>F-BL-06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TC-BL-03</t>
        </is>
      </c>
      <c r="C217" s="18" t="inlineStr">
        <is>
          <t>P1</t>
        </is>
      </c>
      <c r="D217" s="16" t="inlineStr">
        <is>
          <t>Setel harga Rp 0, lewatkan tanggal jatuh tempo jauh</t>
        </is>
      </c>
      <c r="E217" s="16" t="inlineStr">
        <is>
          <t>Tidak pernah terbit tagihan, tidak pernah terkunci</t>
        </is>
      </c>
      <c r="F217" s="16" t="inlineStr">
        <is>
          <t>F-BL-04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TC-BL-04</t>
        </is>
      </c>
      <c r="C218" s="15" t="inlineStr">
        <is>
          <t>P1</t>
        </is>
      </c>
      <c r="D218" s="13" t="inlineStr">
        <is>
          <t>Matikan saklar langganan pada resto berbayar yang menunggak</t>
        </is>
      </c>
      <c r="E218" s="13" t="inlineStr">
        <is>
          <t>Tidak terkunci</t>
        </is>
      </c>
      <c r="F218" s="13" t="inlineStr">
        <is>
          <t>F-BL-05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TC-BL-05</t>
        </is>
      </c>
      <c r="C219" s="20" t="inlineStr">
        <is>
          <t>P2</t>
        </is>
      </c>
      <c r="D219" s="16" t="inlineStr">
        <is>
          <t>Coba pilih tanggal tagihan 29, 30, atau 31</t>
        </is>
      </c>
      <c r="E219" s="16" t="inlineStr">
        <is>
          <t>Tidak tersedia di pilihan — hanya 1 sampai 28</t>
        </is>
      </c>
      <c r="F219" s="16" t="inlineStr">
        <is>
          <t>F-BL-02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TC-BL-06</t>
        </is>
      </c>
      <c r="C220" s="19" t="inlineStr">
        <is>
          <t>P2</t>
        </is>
      </c>
      <c r="D220" s="13" t="inlineStr">
        <is>
          <t>Ketuk Terbitkan tagihan sekarang dua kali beruntun</t>
        </is>
      </c>
      <c r="E220" s="13" t="inlineStr">
        <is>
          <t>Tagihan tetap satu untuk periode itu</t>
        </is>
      </c>
      <c r="F220" s="13" t="inlineStr">
        <is>
          <t>F-BL-08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TC-BL-07</t>
        </is>
      </c>
      <c r="C221" s="18" t="inlineStr">
        <is>
          <t>P1</t>
        </is>
      </c>
      <c r="D221" s="16" t="inlineStr">
        <is>
          <t>Setel jatuh tempo 3 hari lagi, buka aplikasi sebagai Kasir</t>
        </is>
      </c>
      <c r="E221" s="16" t="inlineStr">
        <is>
          <t>Pita pengingat tampil di atas layar; isi layarnya tetap bisa dipakai</t>
        </is>
      </c>
      <c r="F221" s="16" t="inlineStr">
        <is>
          <t>F-BL-09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TC-BL-08</t>
        </is>
      </c>
      <c r="C222" s="19" t="inlineStr">
        <is>
          <t>P2</t>
        </is>
      </c>
      <c r="D222" s="13" t="inlineStr">
        <is>
          <t>Setel jatuh tempo 4 hari lagi</t>
        </is>
      </c>
      <c r="E222" s="13" t="inlineStr">
        <is>
          <t>Pita belum tampil</t>
        </is>
      </c>
      <c r="F222" s="13" t="inlineStr">
        <is>
          <t>F-BL-09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TC-BL-09</t>
        </is>
      </c>
      <c r="C223" s="18" t="inlineStr">
        <is>
          <t>P1</t>
        </is>
      </c>
      <c r="D223" s="16" t="inlineStr">
        <is>
          <t>Lewati jatuh tempo, masih dalam tenggang</t>
        </is>
      </c>
      <c r="E223" s="16" t="inlineStr">
        <is>
          <t>Pita berubah merah; aplikasi belum terkunci</t>
        </is>
      </c>
      <c r="F223" s="16" t="inlineStr">
        <is>
          <t>F-BL-03, F-BL-10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TC-BL-10</t>
        </is>
      </c>
      <c r="C224" s="15" t="inlineStr">
        <is>
          <t>P1</t>
        </is>
      </c>
      <c r="D224" s="13" t="inlineStr">
        <is>
          <t>Lewati tenggang, tagihan belum dibayar</t>
        </is>
      </c>
      <c r="E224" s="13" t="inlineStr">
        <is>
          <t>Seluruh layar diganti halaman Aplikasi Terkunci Sementara</t>
        </is>
      </c>
      <c r="F224" s="13" t="inlineStr">
        <is>
          <t>F-BL-15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TC-BL-11</t>
        </is>
      </c>
      <c r="C225" s="18" t="inlineStr">
        <is>
          <t>P1</t>
        </is>
      </c>
      <c r="D225" s="16" t="inlineStr">
        <is>
          <t>Pada keadaan terkunci, coba buat pesanan lewat API langsung</t>
        </is>
      </c>
      <c r="E225" s="16" t="inlineStr">
        <is>
          <t>Ditolak database — bukan hanya layarnya yang menutup</t>
        </is>
      </c>
      <c r="F225" s="16" t="inlineStr">
        <is>
          <t>F-BL-18, TSD §7.3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TC-BL-12</t>
        </is>
      </c>
      <c r="C226" s="15" t="inlineStr">
        <is>
          <t>P1</t>
        </is>
      </c>
      <c r="D226" s="13" t="inlineStr">
        <is>
          <t>Pada keadaan terkunci, ketuk Lihat &amp; Bayar Tagihan</t>
        </is>
      </c>
      <c r="E226" s="13" t="inlineStr">
        <is>
          <t>Layar tagihan terbuka dan bisa dipakai</t>
        </is>
      </c>
      <c r="F226" s="13" t="inlineStr">
        <is>
          <t>F-BL-16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TC-BL-13</t>
        </is>
      </c>
      <c r="C227" s="18" t="inlineStr">
        <is>
          <t>P1</t>
        </is>
      </c>
      <c r="D227" s="16" t="inlineStr">
        <is>
          <t>Pada keadaan terkunci, ketuk Keluar</t>
        </is>
      </c>
      <c r="E227" s="16" t="inlineStr">
        <is>
          <t>Berhasil keluar akun</t>
        </is>
      </c>
      <c r="F227" s="16" t="inlineStr">
        <is>
          <t>F-BL-16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TC-BL-14</t>
        </is>
      </c>
      <c r="C228" s="15" t="inlineStr">
        <is>
          <t>P1</t>
        </is>
      </c>
      <c r="D228" s="13" t="inlineStr">
        <is>
          <t>Ketuk Buat Virtual Account → pilih BCA</t>
        </is>
      </c>
      <c r="E228" s="13" t="inlineStr">
        <is>
          <t>Nomor VA tampil berikut nominal dan masa berlakunya</t>
        </is>
      </c>
      <c r="F228" s="13" t="inlineStr">
        <is>
          <t>F-BL-11, F-BL-19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TC-BL-14b</t>
        </is>
      </c>
      <c r="C229" s="18" t="inlineStr">
        <is>
          <t>P1</t>
        </is>
      </c>
      <c r="D229" s="16" t="inlineStr">
        <is>
          <t>Tutup layar, buka lagi, ketuk lagi</t>
        </is>
      </c>
      <c r="E229" s="16" t="inlineStr">
        <is>
          <t>Nomor VA sama, tidak diterbitkan yang baru</t>
        </is>
      </c>
      <c r="F229" s="16" t="inlineStr">
        <is>
          <t>F-BL-23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TC-BL-14c</t>
        </is>
      </c>
      <c r="C230" s="15" t="inlineStr">
        <is>
          <t>P1</t>
        </is>
      </c>
      <c r="D230" s="13" t="inlineStr">
        <is>
          <t>Transfer tepat sesuai nominal ke VA itu</t>
        </is>
      </c>
      <c r="E230" s="13" t="inlineStr">
        <is>
          <t>Tagihan lunas sendiri dalam hitungan detik; kunci terbuka tanpa mengirim bukti</t>
        </is>
      </c>
      <c r="F230" s="13" t="inlineStr">
        <is>
          <t>F-BL-22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TC-BL-14d</t>
        </is>
      </c>
      <c r="C231" s="18" t="inlineStr">
        <is>
          <t>P1</t>
        </is>
      </c>
      <c r="D231" s="16" t="inlineStr">
        <is>
          <t>Transfer kurang dari nominal</t>
        </is>
      </c>
      <c r="E231" s="16" t="inlineStr">
        <is>
          <t>Tidak melunasi; tagihan tetap terbuka</t>
        </is>
      </c>
      <c r="F231" s="16" t="inlineStr">
        <is>
          <t>F-BL-20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TC-BL-14e</t>
        </is>
      </c>
      <c r="C232" s="19" t="inlineStr">
        <is>
          <t>P2</t>
        </is>
      </c>
      <c r="D232" s="13" t="inlineStr">
        <is>
          <t>Ketuk Ganti Bank → pilih BNI</t>
        </is>
      </c>
      <c r="E232" s="13" t="inlineStr">
        <is>
          <t>Nomor VA baru untuk bank itu</t>
        </is>
      </c>
      <c r="F232" s="13" t="inlineStr">
        <is>
          <t>F-BL-19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TC-BL-14f</t>
        </is>
      </c>
      <c r="C233" s="18" t="inlineStr">
        <is>
          <t>P1</t>
        </is>
      </c>
      <c r="D233" s="16" t="inlineStr">
        <is>
          <t>Periksa rekening tujuan dana VA di Dashboard Xendit</t>
        </is>
      </c>
      <c r="E233" s="16" t="inlineStr">
        <is>
          <t>Masuk ke akun KaataGo, bukan sub-akun resto</t>
        </is>
      </c>
      <c r="F233" s="16" t="inlineStr">
        <is>
          <t>F-BL-11, TSD §7.3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TC-BL-14g</t>
        </is>
      </c>
      <c r="C234" s="15" t="inlineStr">
        <is>
          <t>P1</t>
        </is>
      </c>
      <c r="D234" s="13" t="inlineStr">
        <is>
          <t>Kirim callback palsu ke xendit-billing-webhook tanpa token</t>
        </is>
      </c>
      <c r="E234" s="13" t="inlineStr">
        <is>
          <t>Ditolak 401; tagihan tidak berubah</t>
        </is>
      </c>
      <c r="F234" s="13" t="inlineStr">
        <is>
          <t>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TC-BL-14h</t>
        </is>
      </c>
      <c r="C235" s="20" t="inlineStr">
        <is>
          <t>P2</t>
        </is>
      </c>
      <c r="D235" s="16" t="inlineStr">
        <is>
          <t>Xendit mengirim callback yang sama dua kali</t>
        </is>
      </c>
      <c r="E235" s="16" t="inlineStr">
        <is>
          <t>Tagihan tetap lunas sekali; catatan pelunasnya tidak berubah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TC-BL-14i</t>
        </is>
      </c>
      <c r="C236" s="19" t="inlineStr">
        <is>
          <t>P2</t>
        </is>
      </c>
      <c r="D236" s="13" t="inlineStr">
        <is>
          <t>Unggah bukti transfer manual lewat jalur cadangan</t>
        </is>
      </c>
      <c r="E236" s="13" t="inlineStr">
        <is>
          <t>Status jadi Menunggu Verifikasi; aplikasi terbuka lagi</t>
        </is>
      </c>
      <c r="F236" s="13" t="inlineStr">
        <is>
          <t>F-BL-24, F-BL-12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TC-BL-15</t>
        </is>
      </c>
      <c r="C237" s="18" t="inlineStr">
        <is>
          <t>P1</t>
        </is>
      </c>
      <c r="D237" s="16" t="inlineStr">
        <is>
          <t>Coba kirim bukti tanpa melampirkan foto</t>
        </is>
      </c>
      <c r="E237" s="16" t="inlineStr">
        <is>
          <t>Tombol Kirim mati</t>
        </is>
      </c>
      <c r="F237" s="16" t="inlineStr">
        <is>
          <t>F-BL-11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TC-BL-16</t>
        </is>
      </c>
      <c r="C238" s="15" t="inlineStr">
        <is>
          <t>P1</t>
        </is>
      </c>
      <c r="D238" s="13" t="inlineStr">
        <is>
          <t>Super Admin → tab Tagihan → Terima</t>
        </is>
      </c>
      <c r="E238" s="13" t="inlineStr">
        <is>
          <t>Status jadi Lunas; resto tetap terbuka; pita hilang</t>
        </is>
      </c>
      <c r="F238" s="13" t="inlineStr">
        <is>
          <t>F-BL-13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TC-BL-17</t>
        </is>
      </c>
      <c r="C239" s="18" t="inlineStr">
        <is>
          <t>P1</t>
        </is>
      </c>
      <c r="D239" s="16" t="inlineStr">
        <is>
          <t>Super Admin → Tolak tanpa mengisi alasan</t>
        </is>
      </c>
      <c r="E239" s="16" t="inlineStr">
        <is>
          <t>Tombol Tolak tidak menyelesaikan apa-apa — alasan wajib</t>
        </is>
      </c>
      <c r="F239" s="16" t="inlineStr">
        <is>
          <t>F-BL-14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TC-BL-18</t>
        </is>
      </c>
      <c r="C240" s="15" t="inlineStr">
        <is>
          <t>P1</t>
        </is>
      </c>
      <c r="D240" s="13" t="inlineStr">
        <is>
          <t>Tolak berikut alasan, lalu buka layar Tagihan dari sisi resto</t>
        </is>
      </c>
      <c r="E240" s="13" t="inlineStr">
        <is>
          <t>Alasannya terbaca; kalau sudah lewat tenggang, terkunci lagi</t>
        </is>
      </c>
      <c r="F240" s="13" t="inlineStr">
        <is>
          <t>F-BL-14, F-BL-15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TC-BL-19</t>
        </is>
      </c>
      <c r="C241" s="18" t="inlineStr">
        <is>
          <t>P1</t>
        </is>
      </c>
      <c r="D241" s="16" t="inlineStr">
        <is>
          <t>Login sebagai Super Admin saat ada resto terkunci</t>
        </is>
      </c>
      <c r="E241" s="16" t="inlineStr">
        <is>
          <t>Tidak terkunci sama sekali</t>
        </is>
      </c>
      <c r="F241" s="16" t="inlineStr">
        <is>
          <t>F-BL-17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TC-BL-20</t>
        </is>
      </c>
      <c r="C242" s="15" t="inlineStr">
        <is>
          <t>P1</t>
        </is>
      </c>
      <c r="D242" s="13" t="inlineStr">
        <is>
          <t>Sebagai resto terkunci, coba ubah harga produk</t>
        </is>
      </c>
      <c r="E242" s="13" t="inlineStr">
        <is>
          <t>Ditolak — katalog ikut dibekukan</t>
        </is>
      </c>
      <c r="F242" s="13" t="inlineStr">
        <is>
          <t>F-BL-18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TC-BL-21</t>
        </is>
      </c>
      <c r="C243" s="18" t="inlineStr">
        <is>
          <t>P1</t>
        </is>
      </c>
      <c r="D243" s="16" t="inlineStr">
        <is>
          <t>Resto A terkunci; buka aplikasi sebagai karyawan resto B</t>
        </is>
      </c>
      <c r="E243" s="16" t="inlineStr">
        <is>
          <t>Resto B tidak terpengaruh</t>
        </is>
      </c>
      <c r="F243" s="16" t="inlineStr">
        <is>
          <t>F-BL-15, A-10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TC-BL-22</t>
        </is>
      </c>
      <c r="C244" s="15" t="inlineStr">
        <is>
          <t>P1</t>
        </is>
      </c>
      <c r="D244" s="13" t="inlineStr">
        <is>
          <t>Coba panggil review_billing_payment sebagai Owner resto</t>
        </is>
      </c>
      <c r="E244" s="13" t="inlineStr">
        <is>
          <t>Ditolak — hanya Super Admin</t>
        </is>
      </c>
      <c r="F244" s="13" t="inlineStr">
        <is>
          <t>F-BL-13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TC-BL-23</t>
        </is>
      </c>
      <c r="C245" s="18" t="inlineStr">
        <is>
          <t>P1</t>
        </is>
      </c>
      <c r="D245" s="16" t="inlineStr">
        <is>
          <t>Coba UPDATE billing_invoices SET status='paid' sebagai Owner</t>
        </is>
      </c>
      <c r="E245" s="16" t="inlineStr">
        <is>
          <t>Ditolak</t>
        </is>
      </c>
      <c r="F245" s="16" t="inlineStr">
        <is>
          <t>F-BL-13, TSD §7.3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TC-BL-24</t>
        </is>
      </c>
      <c r="C246" s="19" t="inlineStr">
        <is>
          <t>P2</t>
        </is>
      </c>
      <c r="D246" s="13" t="inlineStr">
        <is>
          <t>Matikan sambungan, buka aplikasi resto berbayar yang lancar</t>
        </is>
      </c>
      <c r="E246" s="13" t="inlineStr">
        <is>
          <t>Tidak terkunci karena gagal memeriksa</t>
        </is>
      </c>
      <c r="F246" s="13" t="inlineStr">
        <is>
          <t>TSD §7.3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TC-BL-25</t>
        </is>
      </c>
      <c r="C247" s="20" t="inlineStr">
        <is>
          <t>P2</t>
        </is>
      </c>
      <c r="D247" s="16" t="inlineStr">
        <is>
          <t>Owner → Tagihan Langganan</t>
        </is>
      </c>
      <c r="E247" s="16" t="inlineStr">
        <is>
          <t>Terbuka, memuat paket dan riwayat tagihan</t>
        </is>
      </c>
      <c r="F247" s="16" t="inlineStr">
        <is>
          <t>F-BL-11</t>
        </is>
      </c>
      <c r="G247" s="16" t="inlineStr"/>
      <c r="H247" s="16" t="inlineStr"/>
      <c r="I247" s="16" t="inlineStr"/>
    </row>
    <row r="248">
      <c r="A248" s="13" t="inlineStr">
        <is>
          <t>## 19c. Finance KaataGo (Super Admin)</t>
        </is>
      </c>
      <c r="B248" s="14" t="inlineStr">
        <is>
          <t>TC-PF-01</t>
        </is>
      </c>
      <c r="C248" s="15" t="inlineStr">
        <is>
          <t>P1</t>
        </is>
      </c>
      <c r="D248" s="13" t="inlineStr">
        <is>
          <t>Super Admin → Finance → Riwayat Langganan</t>
        </is>
      </c>
      <c r="E248" s="13" t="inlineStr">
        <is>
          <t>Tagihan lunas tampil, dikelompokkan per bulan, dengan total</t>
        </is>
      </c>
      <c r="F248" s="13" t="inlineStr">
        <is>
          <t>F-PF-01</t>
        </is>
      </c>
      <c r="G248" s="13" t="inlineStr"/>
      <c r="H248" s="13" t="inlineStr"/>
      <c r="I248" s="13" t="inlineStr"/>
    </row>
    <row r="249">
      <c r="A249" s="16" t="inlineStr">
        <is>
          <t>## 19c. Finance KaataGo (Super Admin)</t>
        </is>
      </c>
      <c r="B249" s="17" t="inlineStr">
        <is>
          <t>TC-PF-02</t>
        </is>
      </c>
      <c r="C249" s="20" t="inlineStr">
        <is>
          <t>P2</t>
        </is>
      </c>
      <c r="D249" s="16" t="inlineStr">
        <is>
          <t>Periksa penanda jalur pelunasan tiap baris</t>
        </is>
      </c>
      <c r="E249" s="16" t="inlineStr">
        <is>
          <t>Tertulis VA atau manual sesuai cara lunasnya</t>
        </is>
      </c>
      <c r="F249" s="16" t="inlineStr">
        <is>
          <t>F-PF-02</t>
        </is>
      </c>
      <c r="G249" s="16" t="inlineStr"/>
      <c r="H249" s="16" t="inlineStr"/>
      <c r="I249" s="16" t="inlineStr"/>
    </row>
    <row r="250">
      <c r="A250" s="13" t="inlineStr">
        <is>
          <t>## 19c. Finance KaataGo (Super Admin)</t>
        </is>
      </c>
      <c r="B250" s="14" t="inlineStr">
        <is>
          <t>TC-PF-03</t>
        </is>
      </c>
      <c r="C250" s="15" t="inlineStr">
        <is>
          <t>P1</t>
        </is>
      </c>
      <c r="D250" s="13" t="inlineStr">
        <is>
          <t>Buat diskon langganan 20% untuk satu resto → terbitkan tagihan</t>
        </is>
      </c>
      <c r="E250" s="13" t="inlineStr">
        <is>
          <t>Tagihan resto itu berkurang 20%; resto lain tetap penuh</t>
        </is>
      </c>
      <c r="F250" s="13" t="inlineStr">
        <is>
          <t>F-PF-03, F-PF-05</t>
        </is>
      </c>
      <c r="G250" s="13" t="inlineStr"/>
      <c r="H250" s="13" t="inlineStr"/>
      <c r="I250" s="13" t="inlineStr"/>
    </row>
    <row r="251">
      <c r="A251" s="16" t="inlineStr">
        <is>
          <t>## 19c. Finance KaataGo (Super Admin)</t>
        </is>
      </c>
      <c r="B251" s="17" t="inlineStr">
        <is>
          <t>TC-PF-04</t>
        </is>
      </c>
      <c r="C251" s="18" t="inlineStr">
        <is>
          <t>P1</t>
        </is>
      </c>
      <c r="D251" s="16" t="inlineStr">
        <is>
          <t>Simpan diskon tanpa memilih resto</t>
        </is>
      </c>
      <c r="E251" s="16" t="inlineStr">
        <is>
          <t>Ditolak — diskon tanpa sasaran tidak mengenai siapa pun</t>
        </is>
      </c>
      <c r="F251" s="16" t="inlineStr">
        <is>
          <t>F-PF-03</t>
        </is>
      </c>
      <c r="G251" s="16" t="inlineStr"/>
      <c r="H251" s="16" t="inlineStr"/>
      <c r="I251" s="16" t="inlineStr"/>
    </row>
    <row r="252">
      <c r="A252" s="13" t="inlineStr">
        <is>
          <t>## 19c. Finance KaataGo (Super Admin)</t>
        </is>
      </c>
      <c r="B252" s="14" t="inlineStr">
        <is>
          <t>TC-PF-05</t>
        </is>
      </c>
      <c r="C252" s="19" t="inlineStr">
        <is>
          <t>P2</t>
        </is>
      </c>
      <c r="D252" s="13" t="inlineStr">
        <is>
          <t>Buat diskon rupiah lebih besar daripada harga langganan</t>
        </is>
      </c>
      <c r="E252" s="13" t="inlineStr">
        <is>
          <t>Potongannya berhenti di harga; tagihan tidak pernah negatif</t>
        </is>
      </c>
      <c r="F252" s="13" t="inlineStr">
        <is>
          <t>F-PF-03</t>
        </is>
      </c>
      <c r="G252" s="13" t="inlineStr"/>
      <c r="H252" s="13" t="inlineStr"/>
      <c r="I252" s="13" t="inlineStr"/>
    </row>
    <row r="253">
      <c r="A253" s="16" t="inlineStr">
        <is>
          <t>## 19c. Finance KaataGo (Super Admin)</t>
        </is>
      </c>
      <c r="B253" s="17" t="inlineStr">
        <is>
          <t>TC-PF-06</t>
        </is>
      </c>
      <c r="C253" s="20" t="inlineStr">
        <is>
          <t>P2</t>
        </is>
      </c>
      <c r="D253" s="16" t="inlineStr">
        <is>
          <t>Nonaktifkan diskon, terbitkan tagihan berikutnya</t>
        </is>
      </c>
      <c r="E253" s="16" t="inlineStr">
        <is>
          <t>Tidak memotong; diskonnya tetap ada di daftar</t>
        </is>
      </c>
      <c r="F253" s="16" t="inlineStr">
        <is>
          <t>F-PF-04</t>
        </is>
      </c>
      <c r="G253" s="16" t="inlineStr"/>
      <c r="H253" s="16" t="inlineStr"/>
      <c r="I253" s="16" t="inlineStr"/>
    </row>
    <row r="254">
      <c r="A254" s="13" t="inlineStr">
        <is>
          <t>## 19c. Finance KaataGo (Super Admin)</t>
        </is>
      </c>
      <c r="B254" s="14" t="inlineStr">
        <is>
          <t>TC-PF-07</t>
        </is>
      </c>
      <c r="C254" s="15" t="inlineStr">
        <is>
          <t>P1</t>
        </is>
      </c>
      <c r="D254" s="13" t="inlineStr">
        <is>
          <t>Hapus diskon setelah tagihan terbit</t>
        </is>
      </c>
      <c r="E254" s="13" t="inlineStr">
        <is>
          <t>Tagihan yang sudah terbit tetap menyebut potongannya</t>
        </is>
      </c>
      <c r="F254" s="13" t="inlineStr">
        <is>
          <t>F-PF-05</t>
        </is>
      </c>
      <c r="G254" s="13" t="inlineStr"/>
      <c r="H254" s="13" t="inlineStr"/>
      <c r="I254" s="13" t="inlineStr"/>
    </row>
    <row r="255">
      <c r="A255" s="16" t="inlineStr">
        <is>
          <t>## 19c. Finance KaataGo (Super Admin)</t>
        </is>
      </c>
      <c r="B255" s="17" t="inlineStr">
        <is>
          <t>TC-PF-08</t>
        </is>
      </c>
      <c r="C255" s="18" t="inlineStr">
        <is>
          <t>P1</t>
        </is>
      </c>
      <c r="D255" s="16" t="inlineStr">
        <is>
          <t>Bayar tagihan berdiskon → buka Jurnal GL KaataGo</t>
        </is>
      </c>
      <c r="E255" s="16" t="inlineStr">
        <is>
          <t>Dua baris: pendapatan kredit, diskon debit</t>
        </is>
      </c>
      <c r="F255" s="16" t="inlineStr">
        <is>
          <t>F-PF-06, F-PF-07</t>
        </is>
      </c>
      <c r="G255" s="16" t="inlineStr"/>
      <c r="H255" s="16" t="inlineStr"/>
      <c r="I255" s="16" t="inlineStr"/>
    </row>
    <row r="256">
      <c r="A256" s="13" t="inlineStr">
        <is>
          <t>## 19c. Finance KaataGo (Super Admin)</t>
        </is>
      </c>
      <c r="B256" s="14" t="inlineStr">
        <is>
          <t>TC-PF-09</t>
        </is>
      </c>
      <c r="C256" s="15" t="inlineStr">
        <is>
          <t>P1</t>
        </is>
      </c>
      <c r="D256" s="13" t="inlineStr">
        <is>
          <t>Tagihan ditolak lalu diterima lagi</t>
        </is>
      </c>
      <c r="E256" s="13" t="inlineStr">
        <is>
          <t>Jurnalnya tetap satu set — pendapatan tidak tercatat dua kali</t>
        </is>
      </c>
      <c r="F256" s="13" t="inlineStr">
        <is>
          <t>F-PF-07</t>
        </is>
      </c>
      <c r="G256" s="13" t="inlineStr"/>
      <c r="H256" s="13" t="inlineStr"/>
      <c r="I256" s="13" t="inlineStr"/>
    </row>
    <row r="257">
      <c r="A257" s="16" t="inlineStr">
        <is>
          <t>## 19c. Finance KaataGo (Super Admin)</t>
        </is>
      </c>
      <c r="B257" s="17" t="inlineStr">
        <is>
          <t>TC-PF-10</t>
        </is>
      </c>
      <c r="C257" s="18" t="inlineStr">
        <is>
          <t>P1</t>
        </is>
      </c>
      <c r="D257" s="16" t="inlineStr">
        <is>
          <t>Buka Jurnal GL resto yang membayar</t>
        </is>
      </c>
      <c r="E257" s="16" t="inlineStr">
        <is>
          <t>Tidak ada baris pendapatan langganan di sana</t>
        </is>
      </c>
      <c r="F257" s="16" t="inlineStr">
        <is>
          <t>F-PF-07</t>
        </is>
      </c>
      <c r="G257" s="16" t="inlineStr"/>
      <c r="H257" s="16" t="inlineStr"/>
      <c r="I257" s="16" t="inlineStr"/>
    </row>
    <row r="258">
      <c r="A258" s="13" t="inlineStr">
        <is>
          <t>## 19c. Finance KaataGo (Super Admin)</t>
        </is>
      </c>
      <c r="B258" s="14" t="inlineStr">
        <is>
          <t>TC-PF-11</t>
        </is>
      </c>
      <c r="C258" s="19" t="inlineStr">
        <is>
          <t>P2</t>
        </is>
      </c>
      <c r="D258" s="13" t="inlineStr">
        <is>
          <t>Buka Mapping GL Account KaataGo</t>
        </is>
      </c>
      <c r="E258" s="13" t="inlineStr">
        <is>
          <t>Bagan akun 11xxxxx lengkap, berbeda dari 19xxxxx milik resto</t>
        </is>
      </c>
      <c r="F258" s="13" t="inlineStr">
        <is>
          <t>F-PF-08</t>
        </is>
      </c>
      <c r="G258" s="13" t="inlineStr"/>
      <c r="H258" s="13" t="inlineStr"/>
      <c r="I258" s="13" t="inlineStr"/>
    </row>
    <row r="259">
      <c r="A259" s="16" t="inlineStr">
        <is>
          <t>## 19c. Finance KaataGo (Super Admin)</t>
        </is>
      </c>
      <c r="B259" s="17" t="inlineStr">
        <is>
          <t>TC-PF-12</t>
        </is>
      </c>
      <c r="C259" s="20" t="inlineStr">
        <is>
          <t>P2</t>
        </is>
      </c>
      <c r="D259" s="16" t="inlineStr">
        <is>
          <t>Catat pengeluaran dan top up petty cash KaataGo</t>
        </is>
      </c>
      <c r="E259" s="16" t="inlineStr">
        <is>
          <t>Bekerja sama seperti di resto</t>
        </is>
      </c>
      <c r="F259" s="16" t="inlineStr">
        <is>
          <t>F-PF-09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TC-PF-13</t>
        </is>
      </c>
      <c r="C260" s="15" t="inlineStr">
        <is>
          <t>P1</t>
        </is>
      </c>
      <c r="D260" s="13" t="inlineStr">
        <is>
          <t>Telusuri menu Finance KaataGo</t>
        </is>
      </c>
      <c r="E260" s="13" t="inlineStr">
        <is>
          <t>Tidak ada Setor Saldo Cash</t>
        </is>
      </c>
      <c r="F260" s="13" t="inlineStr">
        <is>
          <t>F-PF-10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TC-PF-14</t>
        </is>
      </c>
      <c r="C261" s="18" t="inlineStr">
        <is>
          <t>P1</t>
        </is>
      </c>
      <c r="D261" s="16" t="inlineStr">
        <is>
          <t>Buka Jurnal GL Semua Resto</t>
        </is>
      </c>
      <c r="E261" s="16" t="inlineStr">
        <is>
          <t>Jurnal seluruh resto tampil, bisa disaring per resto</t>
        </is>
      </c>
      <c r="F261" s="16" t="inlineStr">
        <is>
          <t>F-PF-11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TC-PF-15</t>
        </is>
      </c>
      <c r="C262" s="15" t="inlineStr">
        <is>
          <t>P1</t>
        </is>
      </c>
      <c r="D262" s="13" t="inlineStr">
        <is>
          <t>Cari cara mengubah baris di Jurnal GL Semua Resto</t>
        </is>
      </c>
      <c r="E262" s="13" t="inlineStr">
        <is>
          <t>Tidak ada satu pun — hanya bisa dilihat</t>
        </is>
      </c>
      <c r="F262" s="13" t="inlineStr">
        <is>
          <t>F-PF-12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TC-PF-16</t>
        </is>
      </c>
      <c r="C263" s="18" t="inlineStr">
        <is>
          <t>P1</t>
        </is>
      </c>
      <c r="D263" s="16" t="inlineStr">
        <is>
          <t>Coba UPDATE gl_journal_entries sebagai Super Admin lewat API</t>
        </is>
      </c>
      <c r="E263" s="16" t="inlineStr">
        <is>
          <t>Ditolak</t>
        </is>
      </c>
      <c r="F263" s="16" t="inlineStr">
        <is>
          <t>F-PF-12, TSD §7.4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TC-PF-17</t>
        </is>
      </c>
      <c r="C264" s="15" t="inlineStr">
        <is>
          <t>P1</t>
        </is>
      </c>
      <c r="D264" s="13" t="inlineStr">
        <is>
          <t>Buka Pilih Resto sebagai pelanggan</t>
        </is>
      </c>
      <c r="E264" s="13" t="inlineStr">
        <is>
          <t>KaataGo tidak muncul di daftar mana pun</t>
        </is>
      </c>
      <c r="F264" s="13" t="inlineStr">
        <is>
          <t>TSD §7.4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TC-PF-18</t>
        </is>
      </c>
      <c r="C265" s="18" t="inlineStr">
        <is>
          <t>P1</t>
        </is>
      </c>
      <c r="D265" s="16" t="inlineStr">
        <is>
          <t>Buka List Resto dan Billing Resto sebagai Super Admin</t>
        </is>
      </c>
      <c r="E265" s="16" t="inlineStr">
        <is>
          <t>KaataGo tidak muncul sebagai resto yang bisa ditagih</t>
        </is>
      </c>
      <c r="F265" s="16" t="inlineStr">
        <is>
          <t>TSD §7.4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TC-PF-19</t>
        </is>
      </c>
      <c r="C266" s="19" t="inlineStr">
        <is>
          <t>P2</t>
        </is>
      </c>
      <c r="D266" s="13" t="inlineStr">
        <is>
          <t>Buka Diskon Langganan sebagai Owner resto</t>
        </is>
      </c>
      <c r="E266" s="13" t="inlineStr">
        <is>
          <t>Hanya diskon yang mengenai restonya yang terbaca</t>
        </is>
      </c>
      <c r="F266" s="13" t="inlineStr">
        <is>
          <t>F-PF-03</t>
        </is>
      </c>
      <c r="G266" s="13" t="inlineStr"/>
      <c r="H266" s="13" t="inlineStr"/>
      <c r="I266" s="13" t="inlineStr"/>
    </row>
    <row r="267">
      <c r="A267" s="16" t="inlineStr">
        <is>
          <t>Uji Teknis (lingkup TSD)</t>
        </is>
      </c>
      <c r="B267" s="17" t="inlineStr">
        <is>
          <t>TC-TS-01</t>
        </is>
      </c>
      <c r="C267" s="18" t="inlineStr">
        <is>
          <t>P1</t>
        </is>
      </c>
      <c r="D267" s="16" t="inlineStr">
        <is>
          <t>Panggil GET /rest/v1/orders memakai kunci anon tanpa login</t>
        </is>
      </c>
      <c r="E267" s="16" t="inlineStr">
        <is>
          <t>Tidak mengembalikan pesanan resto mana pun</t>
        </is>
      </c>
      <c r="F267" s="16" t="inlineStr">
        <is>
          <t>TSD §5</t>
        </is>
      </c>
      <c r="G267" s="16" t="inlineStr"/>
      <c r="H267" s="16" t="inlineStr"/>
      <c r="I267" s="16" t="inlineStr"/>
    </row>
    <row r="268">
      <c r="A268" s="13" t="inlineStr">
        <is>
          <t>Uji Teknis (lingkup TSD)</t>
        </is>
      </c>
      <c r="B268" s="14" t="inlineStr">
        <is>
          <t>TC-TS-02</t>
        </is>
      </c>
      <c r="C268" s="15" t="inlineStr">
        <is>
          <t>P1</t>
        </is>
      </c>
      <c r="D268" s="13" t="inlineStr">
        <is>
          <t>Login sebagai karyawan resto A, baca orders resto B lewat API</t>
        </is>
      </c>
      <c r="E268" s="13" t="inlineStr">
        <is>
          <t>Kosong — bukan galat, tapi juga bukan data</t>
        </is>
      </c>
      <c r="F268" s="13" t="inlineStr">
        <is>
          <t>TSD §5</t>
        </is>
      </c>
      <c r="G268" s="13" t="inlineStr"/>
      <c r="H268" s="13" t="inlineStr"/>
      <c r="I268" s="13" t="inlineStr"/>
    </row>
    <row r="269">
      <c r="A269" s="16" t="inlineStr">
        <is>
          <t>Uji Teknis (lingkup TSD)</t>
        </is>
      </c>
      <c r="B269" s="17" t="inlineStr">
        <is>
          <t>TC-TS-03</t>
        </is>
      </c>
      <c r="C269" s="18" t="inlineStr">
        <is>
          <t>P1</t>
        </is>
      </c>
      <c r="D269" s="16" t="inlineStr">
        <is>
          <t>Login sebagai Owner, buka tiap layar resto miliknya</t>
        </is>
      </c>
      <c r="E269" s="16" t="inlineStr">
        <is>
          <t>Tidak ada layar yang kosong karena RLS — owner harus disebut di setiap daftar peran</t>
        </is>
      </c>
      <c r="F269" s="16" t="inlineStr">
        <is>
          <t>TSD §5</t>
        </is>
      </c>
      <c r="G269" s="16" t="inlineStr"/>
      <c r="H269" s="16" t="inlineStr"/>
      <c r="I269" s="16" t="inlineStr"/>
    </row>
    <row r="270">
      <c r="A270" s="13" t="inlineStr">
        <is>
          <t>Uji Teknis (lingkup TSD)</t>
        </is>
      </c>
      <c r="B270" s="14" t="inlineStr">
        <is>
          <t>TC-TS-04</t>
        </is>
      </c>
      <c r="C270" s="15" t="inlineStr">
        <is>
          <t>P1</t>
        </is>
      </c>
      <c r="D270" s="13" t="inlineStr">
        <is>
          <t>Login sebagai Kasir, baca gl_journal_entries</t>
        </is>
      </c>
      <c r="E270" s="13" t="inlineStr">
        <is>
          <t>Hanya yang terkait catatan yang memang boleh dia lihat</t>
        </is>
      </c>
      <c r="F270" s="13" t="inlineStr">
        <is>
          <t>F-KS-13, TSD §5.1</t>
        </is>
      </c>
      <c r="G270" s="13" t="inlineStr"/>
      <c r="H270" s="13" t="inlineStr"/>
      <c r="I270" s="13" t="inlineStr"/>
    </row>
    <row r="271">
      <c r="A271" s="16" t="inlineStr">
        <is>
          <t>Uji Teknis (lingkup TSD)</t>
        </is>
      </c>
      <c r="B271" s="17" t="inlineStr">
        <is>
          <t>TC-TS-05</t>
        </is>
      </c>
      <c r="C271" s="18" t="inlineStr">
        <is>
          <t>P1</t>
        </is>
      </c>
      <c r="D271" s="16" t="inlineStr">
        <is>
          <t>Coba UPDATE products langsung lewat API sebagai pelanggan</t>
        </is>
      </c>
      <c r="E271" s="16" t="inlineStr">
        <is>
          <t>Ditolak; pengurangan stok hanya lewat decrement_stock</t>
        </is>
      </c>
      <c r="F271" s="16" t="inlineStr">
        <is>
          <t>TSD §5.2</t>
        </is>
      </c>
      <c r="G271" s="16" t="inlineStr"/>
      <c r="H271" s="16" t="inlineStr"/>
      <c r="I271" s="16" t="inlineStr"/>
    </row>
    <row r="272">
      <c r="A272" s="13" t="inlineStr">
        <is>
          <t>Uji Teknis (lingkup TSD)</t>
        </is>
      </c>
      <c r="B272" s="14" t="inlineStr">
        <is>
          <t>TC-TS-06</t>
        </is>
      </c>
      <c r="C272" s="15" t="inlineStr">
        <is>
          <t>P1</t>
        </is>
      </c>
      <c r="D272" s="13" t="inlineStr">
        <is>
          <t>Panggil cancel_my_order untuk pesanan milik orang lain</t>
        </is>
      </c>
      <c r="E272" s="13" t="inlineStr">
        <is>
          <t>Ditolak</t>
        </is>
      </c>
      <c r="F272" s="13" t="inlineStr">
        <is>
          <t>TSD §5.2</t>
        </is>
      </c>
      <c r="G272" s="13" t="inlineStr"/>
      <c r="H272" s="13" t="inlineStr"/>
      <c r="I272" s="13" t="inlineStr"/>
    </row>
    <row r="273">
      <c r="A273" s="16" t="inlineStr">
        <is>
          <t>Uji Teknis (lingkup TSD)</t>
        </is>
      </c>
      <c r="B273" s="17" t="inlineStr">
        <is>
          <t>TC-TS-07</t>
        </is>
      </c>
      <c r="C273" s="18" t="inlineStr">
        <is>
          <t>P1</t>
        </is>
      </c>
      <c r="D273" s="16" t="inlineStr">
        <is>
          <t>Jalankan ulang seluruh JALANKAN-INI.sql di database yang sudah terisi</t>
        </is>
      </c>
      <c r="E273" s="16" t="inlineStr">
        <is>
          <t>Selesai tanpa galat; tidak ada data yang berubah</t>
        </is>
      </c>
      <c r="F273" s="16" t="inlineStr">
        <is>
          <t>TSD §11</t>
        </is>
      </c>
      <c r="G273" s="16" t="inlineStr"/>
      <c r="H273" s="16" t="inlineStr"/>
      <c r="I273" s="16" t="inlineStr"/>
    </row>
    <row r="274">
      <c r="A274" s="13" t="inlineStr">
        <is>
          <t>Uji Teknis (lingkup TSD)</t>
        </is>
      </c>
      <c r="B274" s="14" t="inlineStr">
        <is>
          <t>TC-TS-08</t>
        </is>
      </c>
      <c r="C274" s="15" t="inlineStr">
        <is>
          <t>P1</t>
        </is>
      </c>
      <c r="D274" s="13" t="inlineStr">
        <is>
          <t>Jalankan ulang satu berkas SQL lama saja, misal cash_payment_expiry.sql</t>
        </is>
      </c>
      <c r="E274" s="13" t="inlineStr">
        <is>
          <t>Tidak menyempitkan daftar nilai batasan mana pun</t>
        </is>
      </c>
      <c r="F274" s="13" t="inlineStr">
        <is>
          <t>TSD §11.1</t>
        </is>
      </c>
      <c r="G274" s="13" t="inlineStr"/>
      <c r="H274" s="13" t="inlineStr"/>
      <c r="I274" s="13" t="inlineStr"/>
    </row>
    <row r="275">
      <c r="A275" s="16" t="inlineStr">
        <is>
          <t>Uji Teknis (lingkup TSD)</t>
        </is>
      </c>
      <c r="B275" s="17" t="inlineStr">
        <is>
          <t>TC-TS-09</t>
        </is>
      </c>
      <c r="C275" s="18" t="inlineStr">
        <is>
          <t>P1</t>
        </is>
      </c>
      <c r="D275" s="16" t="inlineStr">
        <is>
          <t>Buat resto baru dari Super Admin</t>
        </is>
      </c>
      <c r="E275" s="16" t="inlineStr">
        <is>
          <t>Bagan akun GL 12 jenis dan tarif PPN/service langsung terisi</t>
        </is>
      </c>
      <c r="F275" s="16" t="inlineStr">
        <is>
          <t>A-19, TSD §6.2</t>
        </is>
      </c>
      <c r="G275" s="16" t="inlineStr"/>
      <c r="H275" s="16" t="inlineStr"/>
      <c r="I275" s="16" t="inlineStr"/>
    </row>
    <row r="276">
      <c r="A276" s="13" t="inlineStr">
        <is>
          <t>Uji Teknis (lingkup TSD)</t>
        </is>
      </c>
      <c r="B276" s="14" t="inlineStr">
        <is>
          <t>TC-TS-10</t>
        </is>
      </c>
      <c r="C276" s="15" t="inlineStr">
        <is>
          <t>P1</t>
        </is>
      </c>
      <c r="D276" s="13" t="inlineStr">
        <is>
          <t>Kosongkan satu nomor GL, lalu buat transaksi</t>
        </is>
      </c>
      <c r="E276" s="13" t="inlineStr">
        <is>
          <t>Jurnal untuk baris itu tidak terbentuk — pastikan gejalanya dikenali penguji</t>
        </is>
      </c>
      <c r="F276" s="13" t="inlineStr">
        <is>
          <t>TSD §6.2</t>
        </is>
      </c>
      <c r="G276" s="13" t="inlineStr"/>
      <c r="H276" s="13" t="inlineStr"/>
      <c r="I276" s="13" t="inlineStr"/>
    </row>
    <row r="277">
      <c r="A277" s="16" t="inlineStr">
        <is>
          <t>Uji Teknis (lingkup TSD)</t>
        </is>
      </c>
      <c r="B277" s="17" t="inlineStr">
        <is>
          <t>TC-TS-11</t>
        </is>
      </c>
      <c r="C277" s="20" t="inlineStr">
        <is>
          <t>P2</t>
        </is>
      </c>
      <c r="D277" s="16" t="inlineStr">
        <is>
          <t>Periksa push_outbox sesudah pengumuman terbit</t>
        </is>
      </c>
      <c r="E277" s="16" t="inlineStr">
        <is>
          <t>Baris masuk, lalu sent_at terisi</t>
        </is>
      </c>
      <c r="F277" s="16" t="inlineStr">
        <is>
          <t>TSD §8</t>
        </is>
      </c>
      <c r="G277" s="16" t="inlineStr"/>
      <c r="H277" s="16" t="inlineStr"/>
      <c r="I277" s="16" t="inlineStr"/>
    </row>
    <row r="278">
      <c r="A278" s="13" t="inlineStr">
        <is>
          <t>Uji Teknis (lingkup TSD)</t>
        </is>
      </c>
      <c r="B278" s="14" t="inlineStr">
        <is>
          <t>TC-TS-12</t>
        </is>
      </c>
      <c r="C278" s="19" t="inlineStr">
        <is>
          <t>P2</t>
        </is>
      </c>
      <c r="D278" s="13" t="inlineStr">
        <is>
          <t>Matikan sambungan, pakai aplikasi</t>
        </is>
      </c>
      <c r="E278" s="13" t="inlineStr">
        <is>
          <t>Katalog tetap tampil; pesanan tunai tetap bisa dibuat</t>
        </is>
      </c>
      <c r="F278" s="13" t="inlineStr">
        <is>
          <t>TSD §10, FSD §5.6</t>
        </is>
      </c>
      <c r="G278" s="13" t="inlineStr"/>
      <c r="H278" s="13" t="inlineStr"/>
      <c r="I278" s="13" t="inlineStr"/>
    </row>
    <row r="279">
      <c r="A279" s="16" t="inlineStr">
        <is>
          <t>Uji Teknis (lingkup TSD)</t>
        </is>
      </c>
      <c r="B279" s="17" t="inlineStr">
        <is>
          <t>TC-TS-13</t>
        </is>
      </c>
      <c r="C279" s="20" t="inlineStr">
        <is>
          <t>P2</t>
        </is>
      </c>
      <c r="D279" s="16" t="inlineStr">
        <is>
          <t>Sambungkan lagi</t>
        </is>
      </c>
      <c r="E279" s="16" t="inlineStr">
        <is>
          <t>Pesanan yang dibuat saat luring terkirim</t>
        </is>
      </c>
      <c r="F279" s="16" t="inlineStr">
        <is>
          <t>TSD §10</t>
        </is>
      </c>
      <c r="G279" s="16" t="inlineStr"/>
      <c r="H279" s="16" t="inlineStr"/>
      <c r="I279" s="16" t="inlineStr"/>
    </row>
    <row r="280">
      <c r="A280" s="13" t="inlineStr">
        <is>
          <t>Uji Teknis (lingkup TSD)</t>
        </is>
      </c>
      <c r="B280" s="14" t="inlineStr">
        <is>
          <t>TC-TS-14</t>
        </is>
      </c>
      <c r="C280" s="15" t="inlineStr">
        <is>
          <t>P1</t>
        </is>
      </c>
      <c r="D280" s="13" t="inlineStr">
        <is>
          <t>Coba bayar QRIS saat luring</t>
        </is>
      </c>
      <c r="E280" s="13" t="inlineStr">
        <is>
          <t>Ditolak dengan jelas — bukan menggantung tanpa kabar</t>
        </is>
      </c>
      <c r="F280" s="13" t="inlineStr">
        <is>
          <t>FSD §5.6</t>
        </is>
      </c>
      <c r="G280" s="13" t="inlineStr"/>
      <c r="H280" s="13" t="inlineStr"/>
      <c r="I280" s="13" t="inlineStr"/>
    </row>
    <row r="281">
      <c r="A281" s="16" t="inlineStr">
        <is>
          <t>Uji Teknis (lingkup TSD)</t>
        </is>
      </c>
      <c r="B281" s="17" t="inlineStr">
        <is>
          <t>TC-TS-15</t>
        </is>
      </c>
      <c r="C281" s="18" t="inlineStr">
        <is>
          <t>P1</t>
        </is>
      </c>
      <c r="D281" s="16" t="inlineStr">
        <is>
          <t>Panggil create-qris dengan nominal yang dipalsukan di badan permintaan</t>
        </is>
      </c>
      <c r="E281" s="16" t="inlineStr">
        <is>
          <t>Nominal yang dipakai tetap dari basis data</t>
        </is>
      </c>
      <c r="F281" s="16" t="inlineStr">
        <is>
          <t>TSD §7.1</t>
        </is>
      </c>
      <c r="G281" s="16" t="inlineStr"/>
      <c r="H281" s="16" t="inlineStr"/>
      <c r="I281" s="16" t="inlineStr"/>
    </row>
    <row r="282">
      <c r="A282" s="13" t="inlineStr">
        <is>
          <t>Uji Teknis (lingkup TSD)</t>
        </is>
      </c>
      <c r="B282" s="14" t="inlineStr">
        <is>
          <t>TC-TS-16</t>
        </is>
      </c>
      <c r="C282" s="15" t="inlineStr">
        <is>
          <t>P1</t>
        </is>
      </c>
      <c r="D282" s="13" t="inlineStr">
        <is>
          <t>Tandai pesanan lunas lewat API tanpa lewat webhook</t>
        </is>
      </c>
      <c r="E282" s="13" t="inlineStr">
        <is>
          <t>Ditolak</t>
        </is>
      </c>
      <c r="F282" s="13" t="inlineStr">
        <is>
          <t>F-PG-02, TSD §7.1</t>
        </is>
      </c>
      <c r="G282" s="13" t="inlineStr"/>
      <c r="H282" s="13" t="inlineStr"/>
      <c r="I282" s="13" t="inlineStr"/>
    </row>
    <row r="283">
      <c r="A283" s="16" t="inlineStr">
        <is>
          <t>Uji Teknis (lingkup TSD)</t>
        </is>
      </c>
      <c r="B283" s="17" t="inlineStr">
        <is>
          <t>TC-TS-17</t>
        </is>
      </c>
      <c r="C283" s="20" t="inlineStr">
        <is>
          <t>P2</t>
        </is>
      </c>
      <c r="D283" s="16" t="inlineStr">
        <is>
          <t>Bongkar APK, cari kunci Xendit/FCM/Resend</t>
        </is>
      </c>
      <c r="E283" s="16" t="inlineStr">
        <is>
          <t>Tidak ada satu pun kunci pengirim di dalamnya</t>
        </is>
      </c>
      <c r="F283" s="16" t="inlineStr">
        <is>
          <t>TSD §1.2</t>
        </is>
      </c>
      <c r="G283" s="16" t="inlineStr"/>
      <c r="H283" s="16" t="inlineStr"/>
      <c r="I283" s="16" t="inlineStr"/>
    </row>
    <row r="284">
      <c r="A284" s="13" t="inlineStr">
        <is>
          <t>Uji Teknis (lingkup TSD)</t>
        </is>
      </c>
      <c r="B284" s="14" t="inlineStr">
        <is>
          <t>TC-TS-18</t>
        </is>
      </c>
      <c r="C284" s="19" t="inlineStr">
        <is>
          <t>P2</t>
        </is>
      </c>
      <c r="D284" s="13" t="inlineStr">
        <is>
          <t>Pesanan berpindah status lunas lebih dari sekali</t>
        </is>
      </c>
      <c r="E284" s="13" t="inlineStr">
        <is>
          <t>Jurnalnya tetap satu set — tidak ada baris ganda</t>
        </is>
      </c>
      <c r="F284" s="13" t="inlineStr">
        <is>
          <t>TSD §6.5</t>
        </is>
      </c>
      <c r="G284" s="13" t="inlineStr"/>
      <c r="H284" s="13" t="inlineStr"/>
      <c r="I284" s="13" t="inlineStr"/>
    </row>
    <row r="285">
      <c r="A285" s="16" t="inlineStr">
        <is>
          <t>Uji Teknis (lingkup TSD)</t>
        </is>
      </c>
      <c r="B285" s="17" t="inlineStr">
        <is>
          <t>TC-TS-19</t>
        </is>
      </c>
      <c r="C285" s="20" t="inlineStr">
        <is>
          <t>P2</t>
        </is>
      </c>
      <c r="D285" s="16" t="inlineStr">
        <is>
          <t>Hapus resto uji</t>
        </is>
      </c>
      <c r="E285" s="16" t="inlineStr">
        <is>
          <t>Seluruh isinya ikut terhapus, termasuk jurnalnya</t>
        </is>
      </c>
      <c r="F285" s="16" t="inlineStr">
        <is>
          <t>TSD §4.0</t>
        </is>
      </c>
      <c r="G285" s="16" t="inlineStr"/>
      <c r="H285" s="16" t="inlineStr"/>
      <c r="I285" s="16" t="inlineStr"/>
    </row>
    <row r="286">
      <c r="A286" s="13" t="inlineStr">
        <is>
          <t>Regresi — bug yang pernah terjadi</t>
        </is>
      </c>
      <c r="B286" s="14" t="inlineStr">
        <is>
          <t>TC-RG-01</t>
        </is>
      </c>
      <c r="C286" s="15" t="inlineStr">
        <is>
          <t>P1</t>
        </is>
      </c>
      <c r="D286" s="13" t="inlineStr">
        <is>
          <t>Nominal QRIS kasir memakai subtotal menu, bukan total tagihan</t>
        </is>
      </c>
      <c r="E286" s="13" t="inlineStr">
        <is>
          <t>Nominal di layar QRIS = total termasuk service dan PPN</t>
        </is>
      </c>
      <c r="F286" s="13" t="inlineStr">
        <is>
          <t>F-KS-09</t>
        </is>
      </c>
      <c r="G286" s="13" t="inlineStr"/>
      <c r="H286" s="13" t="inlineStr"/>
      <c r="I286" s="13" t="inlineStr"/>
    </row>
    <row r="287">
      <c r="A287" s="16" t="inlineStr">
        <is>
          <t>Regresi — bug yang pernah terjadi</t>
        </is>
      </c>
      <c r="B287" s="17" t="inlineStr">
        <is>
          <t>TC-RG-02</t>
        </is>
      </c>
      <c r="C287" s="18" t="inlineStr">
        <is>
          <t>P1</t>
        </is>
      </c>
      <c r="D287" s="16" t="inlineStr">
        <is>
          <t>Pesanan dilunasi lewat QRIS hilang dari Riwayat Kasir</t>
        </is>
      </c>
      <c r="E287" s="16" t="inlineStr">
        <is>
          <t>Semua cara bayar masuk Riwayat Kasir</t>
        </is>
      </c>
      <c r="F287" s="16" t="inlineStr">
        <is>
          <t>F-PP-09, A-13</t>
        </is>
      </c>
      <c r="G287" s="16" t="inlineStr"/>
      <c r="H287" s="16" t="inlineStr"/>
      <c r="I287" s="16" t="inlineStr"/>
    </row>
    <row r="288">
      <c r="A288" s="13" t="inlineStr">
        <is>
          <t>Regresi — bug yang pernah terjadi</t>
        </is>
      </c>
      <c r="B288" s="14" t="inlineStr">
        <is>
          <t>TC-RG-03</t>
        </is>
      </c>
      <c r="C288" s="15" t="inlineStr">
        <is>
          <t>P1</t>
        </is>
      </c>
      <c r="D288" s="13" t="inlineStr">
        <is>
          <t>Pesanan dibatalkan tampil "Menunggu Pembayaran" di Pesanan Masuk</t>
        </is>
      </c>
      <c r="E288" s="13" t="inlineStr">
        <is>
          <t>Tidak muncul sama sekali</t>
        </is>
      </c>
      <c r="F288" s="13" t="inlineStr">
        <is>
          <t>A-17</t>
        </is>
      </c>
      <c r="G288" s="13" t="inlineStr"/>
      <c r="H288" s="13" t="inlineStr"/>
      <c r="I288" s="13" t="inlineStr"/>
    </row>
    <row r="289">
      <c r="A289" s="16" t="inlineStr">
        <is>
          <t>Regresi — bug yang pernah terjadi</t>
        </is>
      </c>
      <c r="B289" s="17" t="inlineStr">
        <is>
          <t>TC-RG-04</t>
        </is>
      </c>
      <c r="C289" s="18" t="inlineStr">
        <is>
          <t>P1</t>
        </is>
      </c>
      <c r="D289" s="16" t="inlineStr">
        <is>
          <t>Top up Rp 100.000 tercatat Rp 200.000 di jurnal</t>
        </is>
      </c>
      <c r="E289" s="16" t="inlineStr">
        <is>
          <t>Nominalnya sama dengan yang diajukan</t>
        </is>
      </c>
      <c r="F289" s="16" t="inlineStr">
        <is>
          <t>F-FN-03</t>
        </is>
      </c>
      <c r="G289" s="16" t="inlineStr"/>
      <c r="H289" s="16" t="inlineStr"/>
      <c r="I289" s="16" t="inlineStr"/>
    </row>
    <row r="290">
      <c r="A290" s="13" t="inlineStr">
        <is>
          <t>Regresi — bug yang pernah terjadi</t>
        </is>
      </c>
      <c r="B290" s="14" t="inlineStr">
        <is>
          <t>TC-RG-05</t>
        </is>
      </c>
      <c r="C290" s="15" t="inlineStr">
        <is>
          <t>P1</t>
        </is>
      </c>
      <c r="D290" s="13" t="inlineStr">
        <is>
          <t>Diskon tidak berlaku untuk pesanan mandiri pelanggan</t>
        </is>
      </c>
      <c r="E290" s="13" t="inlineStr">
        <is>
          <t>Berlaku sama di kasir dan HP pelanggan</t>
        </is>
      </c>
      <c r="F290" s="13" t="inlineStr">
        <is>
          <t>A-14</t>
        </is>
      </c>
      <c r="G290" s="13" t="inlineStr"/>
      <c r="H290" s="13" t="inlineStr"/>
      <c r="I290" s="13" t="inlineStr"/>
    </row>
    <row r="291">
      <c r="A291" s="16" t="inlineStr">
        <is>
          <t>Regresi — bug yang pernah terjadi</t>
        </is>
      </c>
      <c r="B291" s="17" t="inlineStr">
        <is>
          <t>TC-RG-06</t>
        </is>
      </c>
      <c r="C291" s="18" t="inlineStr">
        <is>
          <t>P1</t>
        </is>
      </c>
      <c r="D291" s="16" t="inlineStr">
        <is>
          <t>Promo "beli 2" lolos oleh keranjang berisi dua menu berbeda</t>
        </is>
      </c>
      <c r="E291" s="16" t="inlineStr">
        <is>
          <t>Syarat jumlah dihitung per menu, dan seluruhnya harus terpenuhi</t>
        </is>
      </c>
      <c r="F291" s="16" t="inlineStr">
        <is>
          <t>F-DS-10, F-DS-12</t>
        </is>
      </c>
      <c r="G291" s="16" t="inlineStr"/>
      <c r="H291" s="16" t="inlineStr"/>
      <c r="I291" s="16" t="inlineStr"/>
    </row>
    <row r="292">
      <c r="A292" s="13" t="inlineStr">
        <is>
          <t>Regresi — bug yang pernah terjadi</t>
        </is>
      </c>
      <c r="B292" s="14" t="inlineStr">
        <is>
          <t>TC-RG-07</t>
        </is>
      </c>
      <c r="C292" s="19" t="inlineStr">
        <is>
          <t>P2</t>
        </is>
      </c>
      <c r="D292" s="13" t="inlineStr">
        <is>
          <t>Tombol pilih/hapus di kotak masuk tidak bereaksi sama sekali</t>
        </is>
      </c>
      <c r="E292" s="13" t="inlineStr">
        <is>
          <t>Bekerja di kotak masuk karyawan dan pelanggan</t>
        </is>
      </c>
      <c r="F292" s="13" t="inlineStr">
        <is>
          <t>F-IN-15</t>
        </is>
      </c>
      <c r="G292" s="13" t="inlineStr"/>
      <c r="H292" s="13" t="inlineStr"/>
      <c r="I292" s="13" t="inlineStr"/>
    </row>
    <row r="293">
      <c r="A293" s="16" t="inlineStr">
        <is>
          <t>Regresi — bug yang pernah terjadi</t>
        </is>
      </c>
      <c r="B293" s="17" t="inlineStr">
        <is>
          <t>TC-RG-08</t>
        </is>
      </c>
      <c r="C293" s="20" t="inlineStr">
        <is>
          <t>P2</t>
        </is>
      </c>
      <c r="D293" s="16" t="inlineStr">
        <is>
          <t>Layar Diskon dari hub Kasir menyebut "Belum ada produk di resto ini"</t>
        </is>
      </c>
      <c r="E293" s="16" t="inlineStr">
        <is>
          <t>Daftar menu termuat</t>
        </is>
      </c>
      <c r="F293" s="16" t="inlineStr">
        <is>
          <t>F-DS-01</t>
        </is>
      </c>
      <c r="G293" s="16" t="inlineStr"/>
      <c r="H293" s="16" t="inlineStr"/>
      <c r="I293" s="16" t="inlineStr"/>
    </row>
    <row r="294">
      <c r="A294" s="13" t="inlineStr">
        <is>
          <t>Regresi — bug yang pernah terjadi</t>
        </is>
      </c>
      <c r="B294" s="14" t="inlineStr">
        <is>
          <t>TC-RG-09</t>
        </is>
      </c>
      <c r="C294" s="19" t="inlineStr">
        <is>
          <t>P2</t>
        </is>
      </c>
      <c r="D294" s="13" t="inlineStr">
        <is>
          <t>Kasir tidak bisa membuka detail jurnal — terlihat seperti GL belum dipetakan</t>
        </is>
      </c>
      <c r="E294" s="13" t="inlineStr">
        <is>
          <t>Detail jurnal terbuka</t>
        </is>
      </c>
      <c r="F294" s="13" t="inlineStr">
        <is>
          <t>F-KS-13</t>
        </is>
      </c>
      <c r="G294" s="13" t="inlineStr"/>
      <c r="H294" s="13" t="inlineStr"/>
      <c r="I294" s="13" t="inlineStr"/>
    </row>
    <row r="295">
      <c r="A295" s="16" t="inlineStr">
        <is>
          <t>Regresi — bug yang pernah terjadi</t>
        </is>
      </c>
      <c r="B295" s="17" t="inlineStr">
        <is>
          <t>TC-RG-10</t>
        </is>
      </c>
      <c r="C295" s="20" t="inlineStr">
        <is>
          <t>P2</t>
        </is>
      </c>
      <c r="D295" s="16" t="inlineStr">
        <is>
          <t>Layar dapur meninggalkan jejak warna lama saat tema diganti</t>
        </is>
      </c>
      <c r="E295" s="16" t="inlineStr">
        <is>
          <t>Seluruh layar berganti bersih</t>
        </is>
      </c>
      <c r="F295" s="16" t="inlineStr">
        <is>
          <t>A-18</t>
        </is>
      </c>
      <c r="G295" s="16" t="inlineStr"/>
      <c r="H295" s="16" t="inlineStr"/>
      <c r="I295" s="16" t="inlineStr"/>
    </row>
    <row r="296">
      <c r="A296" s="13" t="inlineStr">
        <is>
          <t>Regresi — bug yang pernah terjadi</t>
        </is>
      </c>
      <c r="B296" s="14" t="inlineStr">
        <is>
          <t>TC-RG-11</t>
        </is>
      </c>
      <c r="C296" s="19" t="inlineStr">
        <is>
          <t>P2</t>
        </is>
      </c>
      <c r="D296" s="13" t="inlineStr">
        <is>
          <t>Banner promo menempel di atas, tidak ikut tergulir</t>
        </is>
      </c>
      <c r="E296" s="13" t="inlineStr">
        <is>
          <t>Ikut tergulir bersama menunya</t>
        </is>
      </c>
      <c r="F296" s="13" t="inlineStr">
        <is>
          <t>F-CU-16, A-12</t>
        </is>
      </c>
      <c r="G296" s="13" t="inlineStr"/>
      <c r="H296" s="13" t="inlineStr"/>
      <c r="I296" s="13" t="inlineStr"/>
    </row>
    <row r="297">
      <c r="A297" s="16" t="inlineStr">
        <is>
          <t>Regresi — bug yang pernah terjadi</t>
        </is>
      </c>
      <c r="B297" s="17" t="inlineStr">
        <is>
          <t>TC-RG-12</t>
        </is>
      </c>
      <c r="C297" s="20" t="inlineStr">
        <is>
          <t>P2</t>
        </is>
      </c>
      <c r="D297" s="16" t="inlineStr">
        <is>
          <t>Owner hanya bisa melihat Info Pembayaran</t>
        </is>
      </c>
      <c r="E297" s="16" t="inlineStr">
        <is>
          <t>Owner bisa mengubahnya</t>
        </is>
      </c>
      <c r="F297" s="16" t="inlineStr">
        <is>
          <t>F-SD-02</t>
        </is>
      </c>
      <c r="G297" s="16" t="inlineStr"/>
      <c r="H297" s="16" t="inlineStr"/>
      <c r="I297" s="16" t="inlineStr"/>
    </row>
    <row r="298">
      <c r="A298" s="13" t="inlineStr">
        <is>
          <t>Regresi — bug yang pernah terjadi</t>
        </is>
      </c>
      <c r="B298" s="14" t="inlineStr">
        <is>
          <t>TC-RG-13</t>
        </is>
      </c>
      <c r="C298" s="15" t="inlineStr">
        <is>
          <t>P1</t>
        </is>
      </c>
      <c r="D298" s="13" t="inlineStr">
        <is>
          <t>Migrasi gagal: daftar nilai batasan menyempit saat berkas lama dijalankan ulang</t>
        </is>
      </c>
      <c r="E298" s="13" t="inlineStr">
        <is>
          <t>Menjalankan ulang berkas mana pun tidak pernah menolak data yang sudah ada</t>
        </is>
      </c>
      <c r="F298" s="13" t="inlineStr">
        <is>
          <t>TSD §11.1</t>
        </is>
      </c>
      <c r="G298" s="13" t="inlineStr"/>
      <c r="H298" s="13" t="inlineStr"/>
      <c r="I298" s="13" t="inlineStr"/>
    </row>
    <row r="299">
      <c r="A299" s="16" t="inlineStr">
        <is>
          <t>Regresi — bug yang pernah terjadi</t>
        </is>
      </c>
      <c r="B299" s="17" t="inlineStr">
        <is>
          <t>TC-RG-14</t>
        </is>
      </c>
      <c r="C299" s="20" t="inlineStr">
        <is>
          <t>P2</t>
        </is>
      </c>
      <c r="D299" s="16" t="inlineStr">
        <is>
          <t>QR meja borongan bernomor 07, berbeda dengan mode satu meja</t>
        </is>
      </c>
      <c r="E299" s="16" t="inlineStr">
        <is>
          <t>Keduanya menulis 7</t>
        </is>
      </c>
      <c r="F299" s="16" t="inlineStr">
        <is>
          <t>F-QR-07</t>
        </is>
      </c>
      <c r="G299" s="16" t="inlineStr"/>
      <c r="H299" s="16" t="inlineStr"/>
      <c r="I299" s="16" t="inlineStr"/>
    </row>
    <row r="300">
      <c r="A300" s="13" t="inlineStr">
        <is>
          <t>Uji Ujung-ke-Ujung</t>
        </is>
      </c>
      <c r="B300" s="14" t="inlineStr">
        <is>
          <t>E2E-09</t>
        </is>
      </c>
      <c r="C300" s="15" t="inlineStr">
        <is>
          <t>P1</t>
        </is>
      </c>
      <c r="D300" s="13" t="inlineStr">
        <is>
          <t>Satu siklus langganan penuh</t>
        </is>
      </c>
      <c r="E30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00" s="13" t="inlineStr">
        <is>
          <t>F-BL-07 … F-BL-18, TSD §7.3</t>
        </is>
      </c>
      <c r="G300" s="13" t="inlineStr"/>
      <c r="H300" s="13" t="inlineStr"/>
      <c r="I300" s="13" t="inlineStr"/>
    </row>
    <row r="301">
      <c r="A301" s="16" t="inlineStr">
        <is>
          <t>Uji Ujung-ke-Ujung</t>
        </is>
      </c>
      <c r="B301" s="17" t="inlineStr">
        <is>
          <t>E2E-01</t>
        </is>
      </c>
      <c r="C301" s="18" t="inlineStr">
        <is>
          <t>P1</t>
        </is>
      </c>
      <c r="D301" s="16" t="inlineStr">
        <is>
          <t>Pelanggan bayar QRIS</t>
        </is>
      </c>
      <c r="E30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01" s="16" t="inlineStr">
        <is>
          <t>F-CU-09, F-PG-02, F-CH-06, TSD §6, TSD §7.1</t>
        </is>
      </c>
      <c r="G301" s="16" t="inlineStr"/>
      <c r="H301" s="16" t="inlineStr"/>
      <c r="I301" s="16" t="inlineStr"/>
    </row>
    <row r="302">
      <c r="A302" s="13" t="inlineStr">
        <is>
          <t>Uji Ujung-ke-Ujung</t>
        </is>
      </c>
      <c r="B302" s="14" t="inlineStr">
        <is>
          <t>E2E-02</t>
        </is>
      </c>
      <c r="C302" s="15" t="inlineStr">
        <is>
          <t>P1</t>
        </is>
      </c>
      <c r="D302" s="13" t="inlineStr">
        <is>
          <t>Pelanggan bayar tunai di kasir</t>
        </is>
      </c>
      <c r="E30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02" s="13" t="inlineStr">
        <is>
          <t>F-CU-09, F-PP-01, F-PP-06, F-PP-07, F-CH-06, A-02, A-13</t>
        </is>
      </c>
      <c r="G302" s="13" t="inlineStr"/>
      <c r="H302" s="13" t="inlineStr"/>
      <c r="I302" s="13" t="inlineStr"/>
    </row>
    <row r="303">
      <c r="A303" s="16" t="inlineStr">
        <is>
          <t>Uji Ujung-ke-Ujung</t>
        </is>
      </c>
      <c r="B303" s="17" t="inlineStr">
        <is>
          <t>E2E-03</t>
        </is>
      </c>
      <c r="C303" s="18" t="inlineStr">
        <is>
          <t>P1</t>
        </is>
      </c>
      <c r="D303" s="16" t="inlineStr">
        <is>
          <t>Tunai dengan cara bayar diganti</t>
        </is>
      </c>
      <c r="E303" s="16" t="inlineStr">
        <is>
          <t>1. Ulangi E2E-02, tapi pada langkah 4 ganti cara bayarnya ke QRIS.
2. Pesanannya harus tetap masuk Riwayat Kasir, dan masuk Non Cash
3. di Saldo.</t>
        </is>
      </c>
      <c r="F303" s="16" t="inlineStr">
        <is>
          <t>F-PP-09, A-13, TSD §4.2</t>
        </is>
      </c>
      <c r="G303" s="16" t="inlineStr"/>
      <c r="H303" s="16" t="inlineStr"/>
      <c r="I303" s="16" t="inlineStr"/>
    </row>
    <row r="304">
      <c r="A304" s="13" t="inlineStr">
        <is>
          <t>Uji Ujung-ke-Ujung</t>
        </is>
      </c>
      <c r="B304" s="14" t="inlineStr">
        <is>
          <t>E2E-04</t>
        </is>
      </c>
      <c r="C304" s="15" t="inlineStr">
        <is>
          <t>P1</t>
        </is>
      </c>
      <c r="D304" s="13" t="inlineStr">
        <is>
          <t>Setor tunai ke rekening</t>
        </is>
      </c>
      <c r="E30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04" s="13" t="inlineStr">
        <is>
          <t>F-SD-01, F-SD-05, A-05, TSD §6.4</t>
        </is>
      </c>
      <c r="G304" s="13" t="inlineStr"/>
      <c r="H304" s="13" t="inlineStr"/>
      <c r="I304" s="13" t="inlineStr"/>
    </row>
    <row r="305">
      <c r="A305" s="16" t="inlineStr">
        <is>
          <t>Uji Ujung-ke-Ujung</t>
        </is>
      </c>
      <c r="B305" s="17" t="inlineStr">
        <is>
          <t>E2E-05</t>
        </is>
      </c>
      <c r="C305" s="18" t="inlineStr">
        <is>
          <t>P1</t>
        </is>
      </c>
      <c r="D305" s="16" t="inlineStr">
        <is>
          <t>Top up petty cash</t>
        </is>
      </c>
      <c r="E305" s="16" t="inlineStr">
        <is>
          <t>1. Sama polanya dengan E2E-04, lewat GL Suspense Petty Cash. Top up
2. Rp 100.000 harus menambah Petty Cash Rp 100.000 — bukan Rp 200.000.</t>
        </is>
      </c>
      <c r="F305" s="16" t="inlineStr">
        <is>
          <t>F-FN-03, TSD §6.4</t>
        </is>
      </c>
      <c r="G305" s="16" t="inlineStr"/>
      <c r="H305" s="16" t="inlineStr"/>
      <c r="I305" s="16" t="inlineStr"/>
    </row>
    <row r="306">
      <c r="A306" s="13" t="inlineStr">
        <is>
          <t>Uji Ujung-ke-Ujung</t>
        </is>
      </c>
      <c r="B306" s="14" t="inlineStr">
        <is>
          <t>E2E-06</t>
        </is>
      </c>
      <c r="C306" s="15" t="inlineStr">
        <is>
          <t>P1</t>
        </is>
      </c>
      <c r="D306" s="13" t="inlineStr">
        <is>
          <t>Promo bundling dari HP pelanggan</t>
        </is>
      </c>
      <c r="E30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06" s="13" t="inlineStr">
        <is>
          <t>F-DS-10, F-DS-12, F-CU-17, F-DS-08, F-DS-09, A-14</t>
        </is>
      </c>
      <c r="G306" s="13" t="inlineStr"/>
      <c r="H306" s="13" t="inlineStr"/>
      <c r="I306" s="13" t="inlineStr"/>
    </row>
    <row r="307">
      <c r="A307" s="16" t="inlineStr">
        <is>
          <t>Uji Ujung-ke-Ujung</t>
        </is>
      </c>
      <c r="B307" s="17" t="inlineStr">
        <is>
          <t>E2E-07</t>
        </is>
      </c>
      <c r="C307" s="18" t="inlineStr">
        <is>
          <t>P1</t>
        </is>
      </c>
      <c r="D307" s="16" t="inlineStr">
        <is>
          <t>Pembatalan oleh pelanggan</t>
        </is>
      </c>
      <c r="E30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07" s="16" t="inlineStr">
        <is>
          <t>F-CN-01, A-17</t>
        </is>
      </c>
      <c r="G307" s="16" t="inlineStr"/>
      <c r="H307" s="16" t="inlineStr"/>
      <c r="I307" s="16" t="inlineStr"/>
    </row>
    <row r="308">
      <c r="A308" s="13" t="inlineStr">
        <is>
          <t>Uji Ujung-ke-Ujung</t>
        </is>
      </c>
      <c r="B308" s="14" t="inlineStr">
        <is>
          <t>E2E-08</t>
        </is>
      </c>
      <c r="C308" s="15" t="inlineStr">
        <is>
          <t>P1</t>
        </is>
      </c>
      <c r="D308" s="13" t="inlineStr">
        <is>
          <t>Isolasi antar cabang</t>
        </is>
      </c>
      <c r="E30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08" s="13" t="inlineStr">
        <is>
          <t>F-AD-08, F-IN-10, A-10</t>
        </is>
      </c>
      <c r="G308" s="13" t="inlineStr"/>
      <c r="H308" s="13" t="inlineStr"/>
      <c r="I308" s="13" t="inlineStr"/>
    </row>
  </sheetData>
  <autoFilter ref="A1:I308"/>
  <dataValidations count="1">
    <dataValidation sqref="G2:G30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2026-08-17T04:19:07Z</dcterms:created>
  <dcterms:modified xmlns:dcterms="http://purl.org/dc/terms/" xmlns:xsi="http://www.w3.org/2001/XMLSchema-instance" xsi:type="dcterms:W3CDTF">2026-08-17T04:19:11Z</dcterms:modified>
</cp:coreProperties>
</file>