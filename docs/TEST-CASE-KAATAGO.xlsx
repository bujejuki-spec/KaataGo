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" sheetId="1" state="visible" r:id="rId1"/>
    <sheet xmlns:r="http://schemas.openxmlformats.org/officeDocument/2006/relationships" name="Kasus Uji" sheetId="2" state="visible" r:id="rId2"/>
    <sheet xmlns:r="http://schemas.openxmlformats.org/officeDocument/2006/relationships" name="Defect" sheetId="3" state="visible" r:id="rId3"/>
    <sheet xmlns:r="http://schemas.openxmlformats.org/officeDocument/2006/relationships" name="Prasyarat" sheetId="4" state="visible" r:id="rId4"/>
    <sheet xmlns:r="http://schemas.openxmlformats.org/officeDocument/2006/relationships" name="Cara Lampirkan Capture" sheetId="5" state="visible" r:id="rId5"/>
  </sheets>
  <definedNames>
    <definedName name="_xlnm._FilterDatabase" localSheetId="1" hidden="1">'Kasus Uji'!$A$1:$I$332</definedName>
    <definedName name="_xlnm._FilterDatabase" localSheetId="2" hidden="1">'Defect'!$A$4:$V$64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B91C1C"/>
    </font>
    <font>
      <b val="1"/>
    </font>
    <font>
      <b val="1"/>
      <color rgb="00B45309"/>
    </font>
    <font>
      <b val="1"/>
      <color rgb="00047857"/>
    </font>
    <font>
      <b val="1"/>
      <color rgb="004F46E5"/>
      <sz val="14"/>
    </font>
    <font>
      <i val="1"/>
      <color rgb="006E728C"/>
      <sz val="9"/>
    </font>
    <font>
      <color rgb="006E728C"/>
      <sz val="9"/>
    </font>
    <font>
      <color rgb="004F46E5"/>
      <u val="single"/>
    </font>
    <font>
      <b val="1"/>
      <color rgb="004F46E5"/>
      <sz val="12"/>
    </font>
    <font>
      <sz val="10.5"/>
    </font>
    <font>
      <b val="1"/>
      <color rgb="004F46E5"/>
      <sz val="15"/>
    </font>
    <font>
      <i val="1"/>
      <color rgb="006E728C"/>
      <sz val="10"/>
    </font>
    <font>
      <b val="1"/>
      <color rgb="00FFFFFF"/>
    </font>
    <font>
      <i val="1"/>
      <color rgb="00B91C1C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1F5F9"/>
      </patternFill>
    </fill>
  </fills>
  <borders count="6">
    <border>
      <left/>
      <right/>
      <top/>
      <bottom/>
      <diagonal/>
    </border>
    <border>
      <left style="thin">
        <color rgb="00D8DBE8"/>
      </left>
      <right style="thin">
        <color rgb="00D8DBE8"/>
      </right>
      <top style="thin">
        <color rgb="00D8DBE8"/>
      </top>
      <bottom style="thin">
        <color rgb="00D8DBE8"/>
      </bottom>
    </border>
    <border>
      <left/>
      <right/>
      <top style="thin">
        <color rgb="00D8DBE8"/>
      </top>
      <bottom/>
      <diagonal/>
    </border>
    <border>
      <left/>
      <right style="thin">
        <color rgb="00D8DBE8"/>
      </right>
      <top style="thin">
        <color rgb="00D8DBE8"/>
      </top>
      <bottom/>
      <diagonal/>
    </border>
    <border>
      <left/>
      <right/>
      <top style="thin">
        <color rgb="00D8DBE8"/>
      </top>
      <bottom style="thin">
        <color rgb="00D8DBE8"/>
      </bottom>
      <diagonal/>
    </border>
    <border>
      <left/>
      <right style="thin">
        <color rgb="00D8DBE8"/>
      </right>
      <top style="thin">
        <color rgb="00D8DBE8"/>
      </top>
      <bottom style="thin">
        <color rgb="00D8DBE8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0" pivotButton="0" quotePrefix="0" xfId="0"/>
    <xf numFmtId="0" fontId="15" fillId="0" borderId="0" pivotButton="0" quotePrefix="0" xfId="0"/>
    <xf numFmtId="0" fontId="10" fillId="0" borderId="0" pivotButton="0" quotePrefix="0" xfId="0"/>
    <xf numFmtId="0" fontId="14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8" fillId="0" borderId="0" pivotButton="0" quotePrefix="0" xfId="0"/>
    <xf numFmtId="0" fontId="9" fillId="3" borderId="1" applyAlignment="1" pivotButton="0" quotePrefix="0" xfId="0">
      <alignment horizontal="center" vertical="top"/>
    </xf>
    <xf numFmtId="0" fontId="9" fillId="0" borderId="1" applyAlignment="1" pivotButton="0" quotePrefix="0" xfId="0">
      <alignment horizontal="center" vertical="top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KaataGo — Rekap Pengujian</t>
        </is>
      </c>
    </row>
    <row r="2">
      <c r="A2" s="2" t="inlineStr">
        <is>
          <t>Angkanya menghitung sendiri dari lembar Kasus Uji.</t>
        </is>
      </c>
    </row>
    <row r="4">
      <c r="A4" s="3" t="inlineStr">
        <is>
          <t>Kelompok</t>
        </is>
      </c>
      <c r="B4" s="3" t="inlineStr">
        <is>
          <t>Jumlah</t>
        </is>
      </c>
      <c r="C4" s="3" t="inlineStr">
        <is>
          <t>Lulus</t>
        </is>
      </c>
      <c r="D4" s="3" t="inlineStr">
        <is>
          <t>Gagal</t>
        </is>
      </c>
      <c r="E4" s="3" t="inlineStr">
        <is>
          <t>Terblokir</t>
        </is>
      </c>
      <c r="F4" s="3" t="inlineStr">
        <is>
          <t>Dilewati</t>
        </is>
      </c>
      <c r="G4" s="3" t="inlineStr">
        <is>
          <t>Belum diuji</t>
        </is>
      </c>
    </row>
    <row r="5">
      <c r="A5" s="4" t="inlineStr">
        <is>
          <t>Prioritas P1</t>
        </is>
      </c>
      <c r="B5" s="5">
        <f>COUNTIF('Kasus Uji'!C2:C332,"P1")</f>
        <v/>
      </c>
      <c r="C5" s="5">
        <f>COUNTIFS('Kasus Uji'!C2:C332,"P1",'Kasus Uji'!G2:G332,"Lulus")</f>
        <v/>
      </c>
      <c r="D5" s="5">
        <f>COUNTIFS('Kasus Uji'!C2:C332,"P1",'Kasus Uji'!G2:G332,"Gagal")</f>
        <v/>
      </c>
      <c r="E5" s="5">
        <f>COUNTIFS('Kasus Uji'!C2:C332,"P1",'Kasus Uji'!G2:G332,"Terblokir")</f>
        <v/>
      </c>
      <c r="F5" s="5">
        <f>COUNTIFS('Kasus Uji'!C2:C332,"P1",'Kasus Uji'!G2:G332,"Dilewati")</f>
        <v/>
      </c>
      <c r="G5" s="5">
        <f>B5-SUM(C5:F5)</f>
        <v/>
      </c>
    </row>
    <row r="6">
      <c r="A6" s="4" t="inlineStr">
        <is>
          <t>Prioritas P2</t>
        </is>
      </c>
      <c r="B6" s="5">
        <f>COUNTIF('Kasus Uji'!C2:C332,"P2")</f>
        <v/>
      </c>
      <c r="C6" s="5">
        <f>COUNTIFS('Kasus Uji'!C2:C332,"P2",'Kasus Uji'!G2:G332,"Lulus")</f>
        <v/>
      </c>
      <c r="D6" s="5">
        <f>COUNTIFS('Kasus Uji'!C2:C332,"P2",'Kasus Uji'!G2:G332,"Gagal")</f>
        <v/>
      </c>
      <c r="E6" s="5">
        <f>COUNTIFS('Kasus Uji'!C2:C332,"P2",'Kasus Uji'!G2:G332,"Terblokir")</f>
        <v/>
      </c>
      <c r="F6" s="5">
        <f>COUNTIFS('Kasus Uji'!C2:C332,"P2",'Kasus Uji'!G2:G332,"Dilewati")</f>
        <v/>
      </c>
      <c r="G6" s="5">
        <f>B6-SUM(C6:F6)</f>
        <v/>
      </c>
    </row>
    <row r="7">
      <c r="A7" s="4" t="inlineStr">
        <is>
          <t>Prioritas P3</t>
        </is>
      </c>
      <c r="B7" s="5">
        <f>COUNTIF('Kasus Uji'!C2:C332,"P3")</f>
        <v/>
      </c>
      <c r="C7" s="5">
        <f>COUNTIFS('Kasus Uji'!C2:C332,"P3",'Kasus Uji'!G2:G332,"Lulus")</f>
        <v/>
      </c>
      <c r="D7" s="5">
        <f>COUNTIFS('Kasus Uji'!C2:C332,"P3",'Kasus Uji'!G2:G332,"Gagal")</f>
        <v/>
      </c>
      <c r="E7" s="5">
        <f>COUNTIFS('Kasus Uji'!C2:C332,"P3",'Kasus Uji'!G2:G332,"Terblokir")</f>
        <v/>
      </c>
      <c r="F7" s="5">
        <f>COUNTIFS('Kasus Uji'!C2:C332,"P3",'Kasus Uji'!G2:G332,"Dilewati")</f>
        <v/>
      </c>
      <c r="G7" s="5">
        <f>B7-SUM(C7:F7)</f>
        <v/>
      </c>
    </row>
    <row r="8">
      <c r="A8" s="6" t="inlineStr">
        <is>
          <t>TOTAL</t>
        </is>
      </c>
      <c r="B8" s="7">
        <f>SUM(B5:B7)</f>
        <v/>
      </c>
      <c r="C8" s="7">
        <f>SUM(C5:C7)</f>
        <v/>
      </c>
      <c r="D8" s="7">
        <f>SUM(D5:D7)</f>
        <v/>
      </c>
      <c r="E8" s="7">
        <f>SUM(E5:E7)</f>
        <v/>
      </c>
      <c r="F8" s="7">
        <f>SUM(F5:F7)</f>
        <v/>
      </c>
      <c r="G8" s="7">
        <f>SUM(G5:G7)</f>
        <v/>
      </c>
    </row>
    <row r="10">
      <c r="A10" s="8" t="inlineStr">
        <is>
          <t>Per modul</t>
        </is>
      </c>
    </row>
    <row r="11">
      <c r="A11" s="3" t="inlineStr">
        <is>
          <t>Kelompok</t>
        </is>
      </c>
      <c r="B11" s="3" t="inlineStr">
        <is>
          <t>Jumlah</t>
        </is>
      </c>
      <c r="C11" s="3" t="inlineStr">
        <is>
          <t>Lulus</t>
        </is>
      </c>
      <c r="D11" s="3" t="inlineStr">
        <is>
          <t>Gagal</t>
        </is>
      </c>
      <c r="E11" s="3" t="inlineStr">
        <is>
          <t>Terblokir</t>
        </is>
      </c>
      <c r="F11" s="3" t="inlineStr">
        <is>
          <t>Dilewati</t>
        </is>
      </c>
      <c r="G11" s="3" t="inlineStr">
        <is>
          <t>Belum diuji</t>
        </is>
      </c>
    </row>
    <row r="12">
      <c r="A12" s="4" t="inlineStr">
        <is>
          <t>Pelanggan</t>
        </is>
      </c>
      <c r="B12" s="5">
        <f>COUNTIF('Kasus Uji'!A2:A332,"Pelanggan")</f>
        <v/>
      </c>
      <c r="C12" s="5">
        <f>COUNTIFS('Kasus Uji'!A2:A332,"Pelanggan",'Kasus Uji'!G2:G332,"Lulus")</f>
        <v/>
      </c>
      <c r="D12" s="5">
        <f>COUNTIFS('Kasus Uji'!A2:A332,"Pelanggan",'Kasus Uji'!G2:G332,"Gagal")</f>
        <v/>
      </c>
      <c r="E12" s="5">
        <f>COUNTIFS('Kasus Uji'!A2:A332,"Pelanggan",'Kasus Uji'!G2:G332,"Terblokir")</f>
        <v/>
      </c>
      <c r="F12" s="5">
        <f>COUNTIFS('Kasus Uji'!A2:A332,"Pelanggan",'Kasus Uji'!G2:G332,"Dilewati")</f>
        <v/>
      </c>
      <c r="G12" s="5">
        <f>B12-SUM(C12:F12)</f>
        <v/>
      </c>
    </row>
    <row r="13">
      <c r="A13" s="4" t="inlineStr">
        <is>
          <t>Kasir</t>
        </is>
      </c>
      <c r="B13" s="5">
        <f>COUNTIF('Kasus Uji'!A2:A332,"Kasir")</f>
        <v/>
      </c>
      <c r="C13" s="5">
        <f>COUNTIFS('Kasus Uji'!A2:A332,"Kasir",'Kasus Uji'!G2:G332,"Lulus")</f>
        <v/>
      </c>
      <c r="D13" s="5">
        <f>COUNTIFS('Kasus Uji'!A2:A332,"Kasir",'Kasus Uji'!G2:G332,"Gagal")</f>
        <v/>
      </c>
      <c r="E13" s="5">
        <f>COUNTIFS('Kasus Uji'!A2:A332,"Kasir",'Kasus Uji'!G2:G332,"Terblokir")</f>
        <v/>
      </c>
      <c r="F13" s="5">
        <f>COUNTIFS('Kasus Uji'!A2:A332,"Kasir",'Kasus Uji'!G2:G332,"Dilewati")</f>
        <v/>
      </c>
      <c r="G13" s="5">
        <f>B13-SUM(C13:F13)</f>
        <v/>
      </c>
    </row>
    <row r="14">
      <c r="A14" s="4" t="inlineStr">
        <is>
          <t>Pending Payment</t>
        </is>
      </c>
      <c r="B14" s="5">
        <f>COUNTIF('Kasus Uji'!A2:A332,"Pending Payment")</f>
        <v/>
      </c>
      <c r="C14" s="5">
        <f>COUNTIFS('Kasus Uji'!A2:A332,"Pending Payment",'Kasus Uji'!G2:G332,"Lulus")</f>
        <v/>
      </c>
      <c r="D14" s="5">
        <f>COUNTIFS('Kasus Uji'!A2:A332,"Pending Payment",'Kasus Uji'!G2:G332,"Gagal")</f>
        <v/>
      </c>
      <c r="E14" s="5">
        <f>COUNTIFS('Kasus Uji'!A2:A332,"Pending Payment",'Kasus Uji'!G2:G332,"Terblokir")</f>
        <v/>
      </c>
      <c r="F14" s="5">
        <f>COUNTIFS('Kasus Uji'!A2:A332,"Pending Payment",'Kasus Uji'!G2:G332,"Dilewati")</f>
        <v/>
      </c>
      <c r="G14" s="5">
        <f>B14-SUM(C14:F14)</f>
        <v/>
      </c>
    </row>
    <row r="15">
      <c r="A15" s="4" t="inlineStr">
        <is>
          <t>Dapur</t>
        </is>
      </c>
      <c r="B15" s="5">
        <f>COUNTIF('Kasus Uji'!A2:A332,"Dapur")</f>
        <v/>
      </c>
      <c r="C15" s="5">
        <f>COUNTIFS('Kasus Uji'!A2:A332,"Dapur",'Kasus Uji'!G2:G332,"Lulus")</f>
        <v/>
      </c>
      <c r="D15" s="5">
        <f>COUNTIFS('Kasus Uji'!A2:A332,"Dapur",'Kasus Uji'!G2:G332,"Gagal")</f>
        <v/>
      </c>
      <c r="E15" s="5">
        <f>COUNTIFS('Kasus Uji'!A2:A332,"Dapur",'Kasus Uji'!G2:G332,"Terblokir")</f>
        <v/>
      </c>
      <c r="F15" s="5">
        <f>COUNTIFS('Kasus Uji'!A2:A332,"Dapur",'Kasus Uji'!G2:G332,"Dilewati")</f>
        <v/>
      </c>
      <c r="G15" s="5">
        <f>B15-SUM(C15:F15)</f>
        <v/>
      </c>
    </row>
    <row r="16">
      <c r="A16" s="4" t="inlineStr">
        <is>
          <t>Keuangan</t>
        </is>
      </c>
      <c r="B16" s="5">
        <f>COUNTIF('Kasus Uji'!A2:A332,"Keuangan")</f>
        <v/>
      </c>
      <c r="C16" s="5">
        <f>COUNTIFS('Kasus Uji'!A2:A332,"Keuangan",'Kasus Uji'!G2:G332,"Lulus")</f>
        <v/>
      </c>
      <c r="D16" s="5">
        <f>COUNTIFS('Kasus Uji'!A2:A332,"Keuangan",'Kasus Uji'!G2:G332,"Gagal")</f>
        <v/>
      </c>
      <c r="E16" s="5">
        <f>COUNTIFS('Kasus Uji'!A2:A332,"Keuangan",'Kasus Uji'!G2:G332,"Terblokir")</f>
        <v/>
      </c>
      <c r="F16" s="5">
        <f>COUNTIFS('Kasus Uji'!A2:A332,"Keuangan",'Kasus Uji'!G2:G332,"Dilewati")</f>
        <v/>
      </c>
      <c r="G16" s="5">
        <f>B16-SUM(C16:F16)</f>
        <v/>
      </c>
    </row>
    <row r="17">
      <c r="A17" s="4" t="inlineStr">
        <is>
          <t>Setor Saldo Cash</t>
        </is>
      </c>
      <c r="B17" s="5">
        <f>COUNTIF('Kasus Uji'!A2:A332,"Setor Saldo Cash")</f>
        <v/>
      </c>
      <c r="C17" s="5">
        <f>COUNTIFS('Kasus Uji'!A2:A332,"Setor Saldo Cash",'Kasus Uji'!G2:G332,"Lulus")</f>
        <v/>
      </c>
      <c r="D17" s="5">
        <f>COUNTIFS('Kasus Uji'!A2:A332,"Setor Saldo Cash",'Kasus Uji'!G2:G332,"Gagal")</f>
        <v/>
      </c>
      <c r="E17" s="5">
        <f>COUNTIFS('Kasus Uji'!A2:A332,"Setor Saldo Cash",'Kasus Uji'!G2:G332,"Terblokir")</f>
        <v/>
      </c>
      <c r="F17" s="5">
        <f>COUNTIFS('Kasus Uji'!A2:A332,"Setor Saldo Cash",'Kasus Uji'!G2:G332,"Dilewati")</f>
        <v/>
      </c>
      <c r="G17" s="5">
        <f>B17-SUM(C17:F17)</f>
        <v/>
      </c>
    </row>
    <row r="18">
      <c r="A18" s="4" t="inlineStr">
        <is>
          <t>Katalog &amp; Pengaturan</t>
        </is>
      </c>
      <c r="B18" s="5">
        <f>COUNTIF('Kasus Uji'!A2:A332,"Katalog &amp; Pengaturan")</f>
        <v/>
      </c>
      <c r="C18" s="5">
        <f>COUNTIFS('Kasus Uji'!A2:A332,"Katalog &amp; Pengaturan",'Kasus Uji'!G2:G332,"Lulus")</f>
        <v/>
      </c>
      <c r="D18" s="5">
        <f>COUNTIFS('Kasus Uji'!A2:A332,"Katalog &amp; Pengaturan",'Kasus Uji'!G2:G332,"Gagal")</f>
        <v/>
      </c>
      <c r="E18" s="5">
        <f>COUNTIFS('Kasus Uji'!A2:A332,"Katalog &amp; Pengaturan",'Kasus Uji'!G2:G332,"Terblokir")</f>
        <v/>
      </c>
      <c r="F18" s="5">
        <f>COUNTIFS('Kasus Uji'!A2:A332,"Katalog &amp; Pengaturan",'Kasus Uji'!G2:G332,"Dilewati")</f>
        <v/>
      </c>
      <c r="G18" s="5">
        <f>B18-SUM(C18:F18)</f>
        <v/>
      </c>
    </row>
    <row r="19">
      <c r="A19" s="4" t="inlineStr">
        <is>
          <t>QR Meja</t>
        </is>
      </c>
      <c r="B19" s="5">
        <f>COUNTIF('Kasus Uji'!A2:A332,"QR Meja")</f>
        <v/>
      </c>
      <c r="C19" s="5">
        <f>COUNTIFS('Kasus Uji'!A2:A332,"QR Meja",'Kasus Uji'!G2:G332,"Lulus")</f>
        <v/>
      </c>
      <c r="D19" s="5">
        <f>COUNTIFS('Kasus Uji'!A2:A332,"QR Meja",'Kasus Uji'!G2:G332,"Gagal")</f>
        <v/>
      </c>
      <c r="E19" s="5">
        <f>COUNTIFS('Kasus Uji'!A2:A332,"QR Meja",'Kasus Uji'!G2:G332,"Terblokir")</f>
        <v/>
      </c>
      <c r="F19" s="5">
        <f>COUNTIFS('Kasus Uji'!A2:A332,"QR Meja",'Kasus Uji'!G2:G332,"Dilewati")</f>
        <v/>
      </c>
      <c r="G19" s="5">
        <f>B19-SUM(C19:F19)</f>
        <v/>
      </c>
    </row>
    <row r="20">
      <c r="A20" s="4" t="inlineStr">
        <is>
          <t>Diskon</t>
        </is>
      </c>
      <c r="B20" s="5">
        <f>COUNTIF('Kasus Uji'!A2:A332,"Diskon")</f>
        <v/>
      </c>
      <c r="C20" s="5">
        <f>COUNTIFS('Kasus Uji'!A2:A332,"Diskon",'Kasus Uji'!G2:G332,"Lulus")</f>
        <v/>
      </c>
      <c r="D20" s="5">
        <f>COUNTIFS('Kasus Uji'!A2:A332,"Diskon",'Kasus Uji'!G2:G332,"Gagal")</f>
        <v/>
      </c>
      <c r="E20" s="5">
        <f>COUNTIFS('Kasus Uji'!A2:A332,"Diskon",'Kasus Uji'!G2:G332,"Terblokir")</f>
        <v/>
      </c>
      <c r="F20" s="5">
        <f>COUNTIFS('Kasus Uji'!A2:A332,"Diskon",'Kasus Uji'!G2:G332,"Dilewati")</f>
        <v/>
      </c>
      <c r="G20" s="5">
        <f>B20-SUM(C20:F20)</f>
        <v/>
      </c>
    </row>
    <row r="21">
      <c r="A21" s="4" t="inlineStr">
        <is>
          <t>Kotak Masuk &amp; Pengumuman</t>
        </is>
      </c>
      <c r="B21" s="5">
        <f>COUNTIF('Kasus Uji'!A2:A332,"Kotak Masuk &amp; Pengumuman")</f>
        <v/>
      </c>
      <c r="C21" s="5">
        <f>COUNTIFS('Kasus Uji'!A2:A332,"Kotak Masuk &amp; Pengumuman",'Kasus Uji'!G2:G332,"Lulus")</f>
        <v/>
      </c>
      <c r="D21" s="5">
        <f>COUNTIFS('Kasus Uji'!A2:A332,"Kotak Masuk &amp; Pengumuman",'Kasus Uji'!G2:G332,"Gagal")</f>
        <v/>
      </c>
      <c r="E21" s="5">
        <f>COUNTIFS('Kasus Uji'!A2:A332,"Kotak Masuk &amp; Pengumuman",'Kasus Uji'!G2:G332,"Terblokir")</f>
        <v/>
      </c>
      <c r="F21" s="5">
        <f>COUNTIFS('Kasus Uji'!A2:A332,"Kotak Masuk &amp; Pengumuman",'Kasus Uji'!G2:G332,"Dilewati")</f>
        <v/>
      </c>
      <c r="G21" s="5">
        <f>B21-SUM(C21:F21)</f>
        <v/>
      </c>
    </row>
    <row r="22">
      <c r="A22" s="4" t="inlineStr">
        <is>
          <t>Pembayaran QRIS</t>
        </is>
      </c>
      <c r="B22" s="5">
        <f>COUNTIF('Kasus Uji'!A2:A332,"Pembayaran QRIS")</f>
        <v/>
      </c>
      <c r="C22" s="5">
        <f>COUNTIFS('Kasus Uji'!A2:A332,"Pembayaran QRIS",'Kasus Uji'!G2:G332,"Lulus")</f>
        <v/>
      </c>
      <c r="D22" s="5">
        <f>COUNTIFS('Kasus Uji'!A2:A332,"Pembayaran QRIS",'Kasus Uji'!G2:G332,"Gagal")</f>
        <v/>
      </c>
      <c r="E22" s="5">
        <f>COUNTIFS('Kasus Uji'!A2:A332,"Pembayaran QRIS",'Kasus Uji'!G2:G332,"Terblokir")</f>
        <v/>
      </c>
      <c r="F22" s="5">
        <f>COUNTIFS('Kasus Uji'!A2:A332,"Pembayaran QRIS",'Kasus Uji'!G2:G332,"Dilewati")</f>
        <v/>
      </c>
      <c r="G22" s="5">
        <f>B22-SUM(C22:F22)</f>
        <v/>
      </c>
    </row>
    <row r="23">
      <c r="A23" s="4" t="inlineStr">
        <is>
          <t>Pembatalan &amp; Kedaluwarsa</t>
        </is>
      </c>
      <c r="B23" s="5">
        <f>COUNTIF('Kasus Uji'!A2:A332,"Pembatalan &amp; Kedaluwarsa")</f>
        <v/>
      </c>
      <c r="C23" s="5">
        <f>COUNTIFS('Kasus Uji'!A2:A332,"Pembatalan &amp; Kedaluwarsa",'Kasus Uji'!G2:G332,"Lulus")</f>
        <v/>
      </c>
      <c r="D23" s="5">
        <f>COUNTIFS('Kasus Uji'!A2:A332,"Pembatalan &amp; Kedaluwarsa",'Kasus Uji'!G2:G332,"Gagal")</f>
        <v/>
      </c>
      <c r="E23" s="5">
        <f>COUNTIFS('Kasus Uji'!A2:A332,"Pembatalan &amp; Kedaluwarsa",'Kasus Uji'!G2:G332,"Terblokir")</f>
        <v/>
      </c>
      <c r="F23" s="5">
        <f>COUNTIFS('Kasus Uji'!A2:A332,"Pembatalan &amp; Kedaluwarsa",'Kasus Uji'!G2:G332,"Dilewati")</f>
        <v/>
      </c>
      <c r="G23" s="5">
        <f>B23-SUM(C23:F23)</f>
        <v/>
      </c>
    </row>
    <row r="24">
      <c r="A24" s="4" t="inlineStr">
        <is>
          <t>Sesi Meja &amp; Identitas</t>
        </is>
      </c>
      <c r="B24" s="5">
        <f>COUNTIF('Kasus Uji'!A2:A332,"Sesi Meja &amp; Identitas")</f>
        <v/>
      </c>
      <c r="C24" s="5">
        <f>COUNTIFS('Kasus Uji'!A2:A332,"Sesi Meja &amp; Identitas",'Kasus Uji'!G2:G332,"Lulus")</f>
        <v/>
      </c>
      <c r="D24" s="5">
        <f>COUNTIFS('Kasus Uji'!A2:A332,"Sesi Meja &amp; Identitas",'Kasus Uji'!G2:G332,"Gagal")</f>
        <v/>
      </c>
      <c r="E24" s="5">
        <f>COUNTIFS('Kasus Uji'!A2:A332,"Sesi Meja &amp; Identitas",'Kasus Uji'!G2:G332,"Terblokir")</f>
        <v/>
      </c>
      <c r="F24" s="5">
        <f>COUNTIFS('Kasus Uji'!A2:A332,"Sesi Meja &amp; Identitas",'Kasus Uji'!G2:G332,"Dilewati")</f>
        <v/>
      </c>
      <c r="G24" s="5">
        <f>B24-SUM(C24:F24)</f>
        <v/>
      </c>
    </row>
    <row r="25">
      <c r="A25" s="4" t="inlineStr">
        <is>
          <t>Tampilan</t>
        </is>
      </c>
      <c r="B25" s="5">
        <f>COUNTIF('Kasus Uji'!A2:A332,"Tampilan")</f>
        <v/>
      </c>
      <c r="C25" s="5">
        <f>COUNTIFS('Kasus Uji'!A2:A332,"Tampilan",'Kasus Uji'!G2:G332,"Lulus")</f>
        <v/>
      </c>
      <c r="D25" s="5">
        <f>COUNTIFS('Kasus Uji'!A2:A332,"Tampilan",'Kasus Uji'!G2:G332,"Gagal")</f>
        <v/>
      </c>
      <c r="E25" s="5">
        <f>COUNTIFS('Kasus Uji'!A2:A332,"Tampilan",'Kasus Uji'!G2:G332,"Terblokir")</f>
        <v/>
      </c>
      <c r="F25" s="5">
        <f>COUNTIFS('Kasus Uji'!A2:A332,"Tampilan",'Kasus Uji'!G2:G332,"Dilewati")</f>
        <v/>
      </c>
      <c r="G25" s="5">
        <f>B25-SUM(C25:F25)</f>
        <v/>
      </c>
    </row>
    <row r="26">
      <c r="A26" s="4" t="inlineStr">
        <is>
          <t>Super Admin</t>
        </is>
      </c>
      <c r="B26" s="5">
        <f>COUNTIF('Kasus Uji'!A2:A332,"Super Admin")</f>
        <v/>
      </c>
      <c r="C26" s="5">
        <f>COUNTIFS('Kasus Uji'!A2:A332,"Super Admin",'Kasus Uji'!G2:G332,"Lulus")</f>
        <v/>
      </c>
      <c r="D26" s="5">
        <f>COUNTIFS('Kasus Uji'!A2:A332,"Super Admin",'Kasus Uji'!G2:G332,"Gagal")</f>
        <v/>
      </c>
      <c r="E26" s="5">
        <f>COUNTIFS('Kasus Uji'!A2:A332,"Super Admin",'Kasus Uji'!G2:G332,"Terblokir")</f>
        <v/>
      </c>
      <c r="F26" s="5">
        <f>COUNTIFS('Kasus Uji'!A2:A332,"Super Admin",'Kasus Uji'!G2:G332,"Dilewati")</f>
        <v/>
      </c>
      <c r="G26" s="5">
        <f>B26-SUM(C26:F26)</f>
        <v/>
      </c>
    </row>
    <row r="27">
      <c r="A27" s="4" t="inlineStr">
        <is>
          <t>Pembaruan Aplikasi</t>
        </is>
      </c>
      <c r="B27" s="5">
        <f>COUNTIF('Kasus Uji'!A2:A332,"Pembaruan Aplikasi")</f>
        <v/>
      </c>
      <c r="C27" s="5">
        <f>COUNTIFS('Kasus Uji'!A2:A332,"Pembaruan Aplikasi",'Kasus Uji'!G2:G332,"Lulus")</f>
        <v/>
      </c>
      <c r="D27" s="5">
        <f>COUNTIFS('Kasus Uji'!A2:A332,"Pembaruan Aplikasi",'Kasus Uji'!G2:G332,"Gagal")</f>
        <v/>
      </c>
      <c r="E27" s="5">
        <f>COUNTIFS('Kasus Uji'!A2:A332,"Pembaruan Aplikasi",'Kasus Uji'!G2:G332,"Terblokir")</f>
        <v/>
      </c>
      <c r="F27" s="5">
        <f>COUNTIFS('Kasus Uji'!A2:A332,"Pembaruan Aplikasi",'Kasus Uji'!G2:G332,"Dilewati")</f>
        <v/>
      </c>
      <c r="G27" s="5">
        <f>B27-SUM(C27:F27)</f>
        <v/>
      </c>
    </row>
    <row r="28">
      <c r="A28" s="4" t="inlineStr">
        <is>
          <t>## 19b. Langganan &amp; Tagihan Resto</t>
        </is>
      </c>
      <c r="B28" s="5">
        <f>COUNTIF('Kasus Uji'!A2:A332,"## 19b. Langganan &amp; Tagihan Resto")</f>
        <v/>
      </c>
      <c r="C28" s="5">
        <f>COUNTIFS('Kasus Uji'!A2:A332,"## 19b. Langganan &amp; Tagihan Resto",'Kasus Uji'!G2:G332,"Lulus")</f>
        <v/>
      </c>
      <c r="D28" s="5">
        <f>COUNTIFS('Kasus Uji'!A2:A332,"## 19b. Langganan &amp; Tagihan Resto",'Kasus Uji'!G2:G332,"Gagal")</f>
        <v/>
      </c>
      <c r="E28" s="5">
        <f>COUNTIFS('Kasus Uji'!A2:A332,"## 19b. Langganan &amp; Tagihan Resto",'Kasus Uji'!G2:G332,"Terblokir")</f>
        <v/>
      </c>
      <c r="F28" s="5">
        <f>COUNTIFS('Kasus Uji'!A2:A332,"## 19b. Langganan &amp; Tagihan Resto",'Kasus Uji'!G2:G332,"Dilewati")</f>
        <v/>
      </c>
      <c r="G28" s="5">
        <f>B28-SUM(C28:F28)</f>
        <v/>
      </c>
    </row>
    <row r="29">
      <c r="A29" s="4" t="inlineStr">
        <is>
          <t>## 19c. Finance KaataGo (Super Admin)</t>
        </is>
      </c>
      <c r="B29" s="5">
        <f>COUNTIF('Kasus Uji'!A2:A332,"## 19c. Finance KaataGo (Super Admin)")</f>
        <v/>
      </c>
      <c r="C29" s="5">
        <f>COUNTIFS('Kasus Uji'!A2:A332,"## 19c. Finance KaataGo (Super Admin)",'Kasus Uji'!G2:G332,"Lulus")</f>
        <v/>
      </c>
      <c r="D29" s="5">
        <f>COUNTIFS('Kasus Uji'!A2:A332,"## 19c. Finance KaataGo (Super Admin)",'Kasus Uji'!G2:G332,"Gagal")</f>
        <v/>
      </c>
      <c r="E29" s="5">
        <f>COUNTIFS('Kasus Uji'!A2:A332,"## 19c. Finance KaataGo (Super Admin)",'Kasus Uji'!G2:G332,"Terblokir")</f>
        <v/>
      </c>
      <c r="F29" s="5">
        <f>COUNTIFS('Kasus Uji'!A2:A332,"## 19c. Finance KaataGo (Super Admin)",'Kasus Uji'!G2:G332,"Dilewati")</f>
        <v/>
      </c>
      <c r="G29" s="5">
        <f>B29-SUM(C29:F29)</f>
        <v/>
      </c>
    </row>
    <row r="30">
      <c r="A30" s="4" t="inlineStr">
        <is>
          <t>Uji Teknis (lingkup TSD)</t>
        </is>
      </c>
      <c r="B30" s="5">
        <f>COUNTIF('Kasus Uji'!A2:A332,"Uji Teknis (lingkup TSD)")</f>
        <v/>
      </c>
      <c r="C30" s="5">
        <f>COUNTIFS('Kasus Uji'!A2:A332,"Uji Teknis (lingkup TSD)",'Kasus Uji'!G2:G332,"Lulus")</f>
        <v/>
      </c>
      <c r="D30" s="5">
        <f>COUNTIFS('Kasus Uji'!A2:A332,"Uji Teknis (lingkup TSD)",'Kasus Uji'!G2:G332,"Gagal")</f>
        <v/>
      </c>
      <c r="E30" s="5">
        <f>COUNTIFS('Kasus Uji'!A2:A332,"Uji Teknis (lingkup TSD)",'Kasus Uji'!G2:G332,"Terblokir")</f>
        <v/>
      </c>
      <c r="F30" s="5">
        <f>COUNTIFS('Kasus Uji'!A2:A332,"Uji Teknis (lingkup TSD)",'Kasus Uji'!G2:G332,"Dilewati")</f>
        <v/>
      </c>
      <c r="G30" s="5">
        <f>B30-SUM(C30:F30)</f>
        <v/>
      </c>
    </row>
    <row r="31">
      <c r="A31" s="4" t="inlineStr">
        <is>
          <t>Regresi — bug yang pernah terjadi</t>
        </is>
      </c>
      <c r="B31" s="5">
        <f>COUNTIF('Kasus Uji'!A2:A332,"Regresi — bug yang pernah terjadi")</f>
        <v/>
      </c>
      <c r="C31" s="5">
        <f>COUNTIFS('Kasus Uji'!A2:A332,"Regresi — bug yang pernah terjadi",'Kasus Uji'!G2:G332,"Lulus")</f>
        <v/>
      </c>
      <c r="D31" s="5">
        <f>COUNTIFS('Kasus Uji'!A2:A332,"Regresi — bug yang pernah terjadi",'Kasus Uji'!G2:G332,"Gagal")</f>
        <v/>
      </c>
      <c r="E31" s="5">
        <f>COUNTIFS('Kasus Uji'!A2:A332,"Regresi — bug yang pernah terjadi",'Kasus Uji'!G2:G332,"Terblokir")</f>
        <v/>
      </c>
      <c r="F31" s="5">
        <f>COUNTIFS('Kasus Uji'!A2:A332,"Regresi — bug yang pernah terjadi",'Kasus Uji'!G2:G332,"Dilewati")</f>
        <v/>
      </c>
      <c r="G31" s="5">
        <f>B31-SUM(C31:F31)</f>
        <v/>
      </c>
    </row>
    <row r="32">
      <c r="A32" s="4" t="inlineStr">
        <is>
          <t>Uji Ujung-ke-Ujung</t>
        </is>
      </c>
      <c r="B32" s="5">
        <f>COUNTIF('Kasus Uji'!A2:A332,"Uji Ujung-ke-Ujung")</f>
        <v/>
      </c>
      <c r="C32" s="5">
        <f>COUNTIFS('Kasus Uji'!A2:A332,"Uji Ujung-ke-Ujung",'Kasus Uji'!G2:G332,"Lulus")</f>
        <v/>
      </c>
      <c r="D32" s="5">
        <f>COUNTIFS('Kasus Uji'!A2:A332,"Uji Ujung-ke-Ujung",'Kasus Uji'!G2:G332,"Gagal")</f>
        <v/>
      </c>
      <c r="E32" s="5">
        <f>COUNTIFS('Kasus Uji'!A2:A332,"Uji Ujung-ke-Ujung",'Kasus Uji'!G2:G332,"Terblokir")</f>
        <v/>
      </c>
      <c r="F32" s="5">
        <f>COUNTIFS('Kasus Uji'!A2:A332,"Uji Ujung-ke-Ujung",'Kasus Uji'!G2:G332,"Dilewati")</f>
        <v/>
      </c>
      <c r="G32" s="5">
        <f>B32-SUM(C32:F32)</f>
        <v/>
      </c>
    </row>
    <row r="34">
      <c r="A34" s="9" t="inlineStr">
        <is>
          <t>Rilis ditahan selama masih ada P1 yang Gagal.</t>
        </is>
      </c>
    </row>
    <row r="36">
      <c r="A36" s="10" t="inlineStr">
        <is>
          <t>Temuan</t>
        </is>
      </c>
    </row>
    <row r="37">
      <c r="A37" s="11" t="inlineStr">
        <is>
          <t>Severity</t>
        </is>
      </c>
      <c r="B37" s="3" t="inlineStr">
        <is>
          <t>Jumlah</t>
        </is>
      </c>
      <c r="C37" s="3" t="inlineStr">
        <is>
          <t>Baru</t>
        </is>
      </c>
      <c r="D37" s="3" t="inlineStr">
        <is>
          <t>Dikonfirmasi</t>
        </is>
      </c>
      <c r="E37" s="3" t="inlineStr">
        <is>
          <t>Sedang diperbaiki</t>
        </is>
      </c>
      <c r="F37" s="3" t="inlineStr">
        <is>
          <t>Menunggu retest</t>
        </is>
      </c>
      <c r="G37" s="3" t="inlineStr">
        <is>
          <t>Ditutup</t>
        </is>
      </c>
    </row>
    <row r="38">
      <c r="A38" s="4" t="inlineStr">
        <is>
          <t>Blocker</t>
        </is>
      </c>
      <c r="B38" s="5">
        <f>COUNTIF(Defect!M5:M64,"Blocker")</f>
        <v/>
      </c>
      <c r="C38" s="5">
        <f>COUNTIFS(Defect!M5:M64,"Blocker",Defect!P5:P64,"Baru")</f>
        <v/>
      </c>
      <c r="D38" s="5">
        <f>COUNTIFS(Defect!M5:M64,"Blocker",Defect!P5:P64,"Dikonfirmasi")</f>
        <v/>
      </c>
      <c r="E38" s="5">
        <f>COUNTIFS(Defect!M5:M64,"Blocker",Defect!P5:P64,"Sedang diperbaiki")</f>
        <v/>
      </c>
      <c r="F38" s="5">
        <f>COUNTIFS(Defect!M5:M64,"Blocker",Defect!P5:P64,"Menunggu retest")</f>
        <v/>
      </c>
      <c r="G38" s="5">
        <f>COUNTIFS(Defect!M5:M64,"Blocker",Defect!P5:P64,"Ditutup")</f>
        <v/>
      </c>
    </row>
    <row r="39">
      <c r="A39" s="4" t="inlineStr">
        <is>
          <t>Major</t>
        </is>
      </c>
      <c r="B39" s="5">
        <f>COUNTIF(Defect!M5:M64,"Major")</f>
        <v/>
      </c>
      <c r="C39" s="5">
        <f>COUNTIFS(Defect!M5:M64,"Major",Defect!P5:P64,"Baru")</f>
        <v/>
      </c>
      <c r="D39" s="5">
        <f>COUNTIFS(Defect!M5:M64,"Major",Defect!P5:P64,"Dikonfirmasi")</f>
        <v/>
      </c>
      <c r="E39" s="5">
        <f>COUNTIFS(Defect!M5:M64,"Major",Defect!P5:P64,"Sedang diperbaiki")</f>
        <v/>
      </c>
      <c r="F39" s="5">
        <f>COUNTIFS(Defect!M5:M64,"Major",Defect!P5:P64,"Menunggu retest")</f>
        <v/>
      </c>
      <c r="G39" s="5">
        <f>COUNTIFS(Defect!M5:M64,"Major",Defect!P5:P64,"Ditutup")</f>
        <v/>
      </c>
    </row>
    <row r="40">
      <c r="A40" s="4" t="inlineStr">
        <is>
          <t>Minor</t>
        </is>
      </c>
      <c r="B40" s="5">
        <f>COUNTIF(Defect!M5:M64,"Minor")</f>
        <v/>
      </c>
      <c r="C40" s="5">
        <f>COUNTIFS(Defect!M5:M64,"Minor",Defect!P5:P64,"Baru")</f>
        <v/>
      </c>
      <c r="D40" s="5">
        <f>COUNTIFS(Defect!M5:M64,"Minor",Defect!P5:P64,"Dikonfirmasi")</f>
        <v/>
      </c>
      <c r="E40" s="5">
        <f>COUNTIFS(Defect!M5:M64,"Minor",Defect!P5:P64,"Sedang diperbaiki")</f>
        <v/>
      </c>
      <c r="F40" s="5">
        <f>COUNTIFS(Defect!M5:M64,"Minor",Defect!P5:P64,"Menunggu retest")</f>
        <v/>
      </c>
      <c r="G40" s="5">
        <f>COUNTIFS(Defect!M5:M64,"Minor",Defect!P5:P64,"Ditutup")</f>
        <v/>
      </c>
    </row>
    <row r="41">
      <c r="A41" s="4" t="inlineStr">
        <is>
          <t>Trivial</t>
        </is>
      </c>
      <c r="B41" s="5">
        <f>COUNTIF(Defect!M5:M64,"Trivial")</f>
        <v/>
      </c>
      <c r="C41" s="5">
        <f>COUNTIFS(Defect!M5:M64,"Trivial",Defect!P5:P64,"Baru")</f>
        <v/>
      </c>
      <c r="D41" s="5">
        <f>COUNTIFS(Defect!M5:M64,"Trivial",Defect!P5:P64,"Dikonfirmasi")</f>
        <v/>
      </c>
      <c r="E41" s="5">
        <f>COUNTIFS(Defect!M5:M64,"Trivial",Defect!P5:P64,"Sedang diperbaiki")</f>
        <v/>
      </c>
      <c r="F41" s="5">
        <f>COUNTIFS(Defect!M5:M64,"Trivial",Defect!P5:P64,"Menunggu retest")</f>
        <v/>
      </c>
      <c r="G41" s="5">
        <f>COUNTIFS(Defect!M5:M64,"Trivial",Defect!P5:P64,"Ditutup")</f>
        <v/>
      </c>
    </row>
    <row r="42">
      <c r="A42" s="6" t="inlineStr">
        <is>
          <t>TOTAL</t>
        </is>
      </c>
      <c r="B42" s="7">
        <f>SUM(B38:B41)</f>
        <v/>
      </c>
      <c r="C42" s="7">
        <f>SUM(C38:C41)</f>
        <v/>
      </c>
      <c r="D42" s="7">
        <f>SUM(D38:D41)</f>
        <v/>
      </c>
      <c r="E42" s="7">
        <f>SUM(E38:E41)</f>
        <v/>
      </c>
      <c r="F42" s="7">
        <f>SUM(F38:F41)</f>
        <v/>
      </c>
      <c r="G42" s="7">
        <f>SUM(G38:G41)</f>
        <v/>
      </c>
    </row>
    <row r="44">
      <c r="A44" s="9" t="inlineStr">
        <is>
          <t>Blocker yang belum Ditutup menahan rilis.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6" customWidth="1" min="3" max="3"/>
    <col width="52" customWidth="1" min="4" max="4"/>
    <col width="52" customWidth="1" min="5" max="5"/>
    <col width="20" customWidth="1" min="6" max="6"/>
    <col width="13" customWidth="1" min="7" max="7"/>
    <col width="34" customWidth="1" min="8" max="8"/>
    <col width="16" customWidth="1" min="9" max="9"/>
  </cols>
  <sheetData>
    <row r="1" ht="26" customHeight="1">
      <c r="A1" s="12" t="inlineStr">
        <is>
          <t>Modul</t>
        </is>
      </c>
      <c r="B1" s="12" t="inlineStr">
        <is>
          <t>ID</t>
        </is>
      </c>
      <c r="C1" s="12" t="inlineStr">
        <is>
          <t>P</t>
        </is>
      </c>
      <c r="D1" s="12" t="inlineStr">
        <is>
          <t>Skenario / Langkah</t>
        </is>
      </c>
      <c r="E1" s="12" t="inlineStr">
        <is>
          <t>Hasil yang Diharapkan</t>
        </is>
      </c>
      <c r="F1" s="12" t="inlineStr">
        <is>
          <t>Rujukan</t>
        </is>
      </c>
      <c r="G1" s="12" t="inlineStr">
        <is>
          <t>Hasil</t>
        </is>
      </c>
      <c r="H1" s="12" t="inlineStr">
        <is>
          <t>Catatan</t>
        </is>
      </c>
      <c r="I1" s="12" t="inlineStr">
        <is>
          <t>Diuji Oleh</t>
        </is>
      </c>
    </row>
    <row r="2">
      <c r="A2" s="13" t="inlineStr">
        <is>
          <t>Pelanggan</t>
        </is>
      </c>
      <c r="B2" s="14" t="inlineStr">
        <is>
          <t>TC-CU-01</t>
        </is>
      </c>
      <c r="C2" s="15" t="inlineStr">
        <is>
          <t>P1</t>
        </is>
      </c>
      <c r="D2" s="13" t="inlineStr">
        <is>
          <t>Buka aplikasi → Pelanggan → Lewati, Pesan Tanpa Login → pesan sampai selesai</t>
        </is>
      </c>
      <c r="E2" s="13" t="inlineStr">
        <is>
          <t>Seluruh alur bisa dituntaskan tanpa membuat akun</t>
        </is>
      </c>
      <c r="F2" s="13" t="inlineStr">
        <is>
          <t>F-CU-01, A-01</t>
        </is>
      </c>
      <c r="G2" s="13" t="inlineStr"/>
      <c r="H2" s="13" t="inlineStr"/>
      <c r="I2" s="13" t="inlineStr"/>
    </row>
    <row r="3">
      <c r="A3" s="16" t="inlineStr">
        <is>
          <t>Pelanggan</t>
        </is>
      </c>
      <c r="B3" s="17" t="inlineStr">
        <is>
          <t>TC-CU-02</t>
        </is>
      </c>
      <c r="C3" s="18" t="inlineStr">
        <is>
          <t>P1</t>
        </is>
      </c>
      <c r="D3" s="16" t="inlineStr">
        <is>
          <t>Scan QR meja sebuah resto</t>
        </is>
      </c>
      <c r="E3" s="16" t="inlineStr">
        <is>
          <t>Menu resto terbuka, nomor meja terisi sendiri dan tidak bisa diubah</t>
        </is>
      </c>
      <c r="F3" s="16" t="inlineStr">
        <is>
          <t>F-CU-02, F-CU-03</t>
        </is>
      </c>
      <c r="G3" s="16" t="inlineStr"/>
      <c r="H3" s="16" t="inlineStr"/>
      <c r="I3" s="16" t="inlineStr"/>
    </row>
    <row r="4">
      <c r="A4" s="13" t="inlineStr">
        <is>
          <t>Pelanggan</t>
        </is>
      </c>
      <c r="B4" s="14" t="inlineStr">
        <is>
          <t>TC-CU-03</t>
        </is>
      </c>
      <c r="C4" s="19" t="inlineStr">
        <is>
          <t>P2</t>
        </is>
      </c>
      <c r="D4" s="13" t="inlineStr">
        <is>
          <t>Pilih Resto tanpa memberi izin lokasi</t>
        </is>
      </c>
      <c r="E4" s="13" t="inlineStr">
        <is>
          <t>Hanya bagian Semua Resto tampil; tidak ada galat, tidak ada bagian kosong berjudul "Terdekat"</t>
        </is>
      </c>
      <c r="F4" s="13" t="inlineStr">
        <is>
          <t>F-CU-02</t>
        </is>
      </c>
      <c r="G4" s="13" t="inlineStr"/>
      <c r="H4" s="13" t="inlineStr"/>
      <c r="I4" s="13" t="inlineStr"/>
    </row>
    <row r="5">
      <c r="A5" s="16" t="inlineStr">
        <is>
          <t>Pelanggan</t>
        </is>
      </c>
      <c r="B5" s="17" t="inlineStr">
        <is>
          <t>TC-CU-04</t>
        </is>
      </c>
      <c r="C5" s="20" t="inlineStr">
        <is>
          <t>P2</t>
        </is>
      </c>
      <c r="D5" s="16" t="inlineStr">
        <is>
          <t>Beri izin lokasi, buka Pilih Resto lagi</t>
        </is>
      </c>
      <c r="E5" s="16" t="inlineStr">
        <is>
          <t>Bagian Terdekat muncul berikut jarak tiap resto</t>
        </is>
      </c>
      <c r="F5" s="16" t="inlineStr">
        <is>
          <t>F-CU-02</t>
        </is>
      </c>
      <c r="G5" s="16" t="inlineStr"/>
      <c r="H5" s="16" t="inlineStr"/>
      <c r="I5" s="16" t="inlineStr"/>
    </row>
    <row r="6">
      <c r="A6" s="13" t="inlineStr">
        <is>
          <t>Pelanggan</t>
        </is>
      </c>
      <c r="B6" s="14" t="inlineStr">
        <is>
          <t>TC-CU-05</t>
        </is>
      </c>
      <c r="C6" s="19" t="inlineStr">
        <is>
          <t>P2</t>
        </is>
      </c>
      <c r="D6" s="13" t="inlineStr">
        <is>
          <t>Cari resto dengan potongan alamat, bukan namanya</t>
        </is>
      </c>
      <c r="E6" s="13" t="inlineStr">
        <is>
          <t>Resto yang alamatnya cocok ikut muncul</t>
        </is>
      </c>
      <c r="F6" s="13" t="inlineStr">
        <is>
          <t>F-CU-02</t>
        </is>
      </c>
      <c r="G6" s="13" t="inlineStr"/>
      <c r="H6" s="13" t="inlineStr"/>
      <c r="I6" s="13" t="inlineStr"/>
    </row>
    <row r="7">
      <c r="A7" s="16" t="inlineStr">
        <is>
          <t>Pelanggan</t>
        </is>
      </c>
      <c r="B7" s="17" t="inlineStr">
        <is>
          <t>TC-CU-06</t>
        </is>
      </c>
      <c r="C7" s="20" t="inlineStr">
        <is>
          <t>P2</t>
        </is>
      </c>
      <c r="D7" s="16" t="inlineStr">
        <is>
          <t>Buka menu minuman yang punya tiga kelompok level</t>
        </is>
      </c>
      <c r="E7" s="16" t="inlineStr">
        <is>
          <t>Ketiga kelompok tampil sekaligus; tiap kelompok wajib dipilih</t>
        </is>
      </c>
      <c r="F7" s="16" t="inlineStr">
        <is>
          <t>F-CU-04</t>
        </is>
      </c>
      <c r="G7" s="16" t="inlineStr"/>
      <c r="H7" s="16" t="inlineStr"/>
      <c r="I7" s="16" t="inlineStr"/>
    </row>
    <row r="8">
      <c r="A8" s="13" t="inlineStr">
        <is>
          <t>Pelanggan</t>
        </is>
      </c>
      <c r="B8" s="14" t="inlineStr">
        <is>
          <t>TC-CU-07</t>
        </is>
      </c>
      <c r="C8" s="19" t="inlineStr">
        <is>
          <t>P2</t>
        </is>
      </c>
      <c r="D8" s="13" t="inlineStr">
        <is>
          <t>Tambahkan Nasi Goreng "Pedas", lalu Nasi Goreng "Tidak Pedas"</t>
        </is>
      </c>
      <c r="E8" s="13" t="inlineStr">
        <is>
          <t>Keranjang berisi dua baris terpisah, bukan satu baris berjumlah 2</t>
        </is>
      </c>
      <c r="F8" s="13" t="inlineStr">
        <is>
          <t>F-CU-05</t>
        </is>
      </c>
      <c r="G8" s="13" t="inlineStr"/>
      <c r="H8" s="13" t="inlineStr"/>
      <c r="I8" s="13" t="inlineStr"/>
    </row>
    <row r="9">
      <c r="A9" s="16" t="inlineStr">
        <is>
          <t>Pelanggan</t>
        </is>
      </c>
      <c r="B9" s="17" t="inlineStr">
        <is>
          <t>TC-CU-08</t>
        </is>
      </c>
      <c r="C9" s="20" t="inlineStr">
        <is>
          <t>P2</t>
        </is>
      </c>
      <c r="D9" s="16" t="inlineStr">
        <is>
          <t>Tambahkan menu yang sama dengan level dan catatan persis sama, dua kali</t>
        </is>
      </c>
      <c r="E9" s="16" t="inlineStr">
        <is>
          <t>Menyatu jadi satu baris berjumlah 2</t>
        </is>
      </c>
      <c r="F9" s="16" t="inlineStr">
        <is>
          <t>F-CU-05</t>
        </is>
      </c>
      <c r="G9" s="16" t="inlineStr"/>
      <c r="H9" s="16" t="inlineStr"/>
      <c r="I9" s="16" t="inlineStr"/>
    </row>
    <row r="10">
      <c r="A10" s="13" t="inlineStr">
        <is>
          <t>Pelanggan</t>
        </is>
      </c>
      <c r="B10" s="14" t="inlineStr">
        <is>
          <t>TC-CU-09</t>
        </is>
      </c>
      <c r="C10" s="19" t="inlineStr">
        <is>
          <t>P2</t>
        </is>
      </c>
      <c r="D10" s="13" t="inlineStr">
        <is>
          <t>Ubah jumlah dan hapus baris dari keranjang</t>
        </is>
      </c>
      <c r="E10" s="13" t="inlineStr">
        <is>
          <t>Subtotal dan total ikut berubah seketika</t>
        </is>
      </c>
      <c r="F10" s="13" t="inlineStr">
        <is>
          <t>F-CU-06</t>
        </is>
      </c>
      <c r="G10" s="13" t="inlineStr"/>
      <c r="H10" s="13" t="inlineStr"/>
      <c r="I10" s="13" t="inlineStr"/>
    </row>
    <row r="11">
      <c r="A11" s="16" t="inlineStr">
        <is>
          <t>Pelanggan</t>
        </is>
      </c>
      <c r="B11" s="17" t="inlineStr">
        <is>
          <t>TC-CU-10</t>
        </is>
      </c>
      <c r="C11" s="18" t="inlineStr">
        <is>
          <t>P1</t>
        </is>
      </c>
      <c r="D11" s="16" t="inlineStr">
        <is>
          <t>Pilih Take Away</t>
        </is>
      </c>
      <c r="E11" s="16" t="inlineStr">
        <is>
          <t>Nomor meja tidak diminta; nama pemesan tetap wajib</t>
        </is>
      </c>
      <c r="F11" s="16" t="inlineStr">
        <is>
          <t>F-CU-07, F-CU-08</t>
        </is>
      </c>
      <c r="G11" s="16" t="inlineStr"/>
      <c r="H11" s="16" t="inlineStr"/>
      <c r="I11" s="16" t="inlineStr"/>
    </row>
    <row r="12">
      <c r="A12" s="13" t="inlineStr">
        <is>
          <t>Pelanggan</t>
        </is>
      </c>
      <c r="B12" s="14" t="inlineStr">
        <is>
          <t>TC-CU-11</t>
        </is>
      </c>
      <c r="C12" s="15" t="inlineStr">
        <is>
          <t>P1</t>
        </is>
      </c>
      <c r="D12" s="13" t="inlineStr">
        <is>
          <t>Pilih Dine In, kosongkan nomor meja</t>
        </is>
      </c>
      <c r="E12" s="13" t="inlineStr">
        <is>
          <t>Tombol bayar mati; petunjuknya menyebut kolom mana yang kurang</t>
        </is>
      </c>
      <c r="F12" s="13" t="inlineStr">
        <is>
          <t>F-CU-07</t>
        </is>
      </c>
      <c r="G12" s="13" t="inlineStr"/>
      <c r="H12" s="13" t="inlineStr"/>
      <c r="I12" s="13" t="inlineStr"/>
    </row>
    <row r="13">
      <c r="A13" s="16" t="inlineStr">
        <is>
          <t>Pelanggan</t>
        </is>
      </c>
      <c r="B13" s="17" t="inlineStr">
        <is>
          <t>TC-CU-12</t>
        </is>
      </c>
      <c r="C13" s="18" t="inlineStr">
        <is>
          <t>P1</t>
        </is>
      </c>
      <c r="D13" s="16" t="inlineStr">
        <is>
          <t>Periksa ringkasan tagihan</t>
        </is>
      </c>
      <c r="E13" s="16" t="inlineStr">
        <is>
          <t>Subtotal + biaya service + PPN = total, persis, tanpa selisih pembulatan</t>
        </is>
      </c>
      <c r="F13" s="16" t="inlineStr">
        <is>
          <t>F-CU-10, A-04</t>
        </is>
      </c>
      <c r="G13" s="16" t="inlineStr"/>
      <c r="H13" s="16" t="inlineStr"/>
      <c r="I13" s="16" t="inlineStr"/>
    </row>
    <row r="14">
      <c r="A14" s="13" t="inlineStr">
        <is>
          <t>Pelanggan</t>
        </is>
      </c>
      <c r="B14" s="14" t="inlineStr">
        <is>
          <t>TC-CU-13</t>
        </is>
      </c>
      <c r="C14" s="19" t="inlineStr">
        <is>
          <t>P2</t>
        </is>
      </c>
      <c r="D14" s="13" t="inlineStr">
        <is>
          <t>Resto yang hanya melayani Dine In</t>
        </is>
      </c>
      <c r="E14" s="13" t="inlineStr">
        <is>
          <t>Pilihan Take Away tidak muncul sama sekali, bukan muncul lalu ditolak</t>
        </is>
      </c>
      <c r="F14" s="13" t="inlineStr">
        <is>
          <t>F-CU-23</t>
        </is>
      </c>
      <c r="G14" s="13" t="inlineStr"/>
      <c r="H14" s="13" t="inlineStr"/>
      <c r="I14" s="13" t="inlineStr"/>
    </row>
    <row r="15">
      <c r="A15" s="16" t="inlineStr">
        <is>
          <t>Pelanggan</t>
        </is>
      </c>
      <c r="B15" s="17" t="inlineStr">
        <is>
          <t>TC-CU-14</t>
        </is>
      </c>
      <c r="C15" s="18" t="inlineStr">
        <is>
          <t>P1</t>
        </is>
      </c>
      <c r="D15" s="16" t="inlineStr">
        <is>
          <t>Selesaikan pesanan, biarkan layar terbuka, minta kasir mengubah statusnya</t>
        </is>
      </c>
      <c r="E15" s="16" t="inlineStr">
        <is>
          <t>Status di HP berubah sendiri tanpa disegarkan</t>
        </is>
      </c>
      <c r="F15" s="16" t="inlineStr">
        <is>
          <t>F-CU-11</t>
        </is>
      </c>
      <c r="G15" s="16" t="inlineStr"/>
      <c r="H15" s="16" t="inlineStr"/>
      <c r="I15" s="16" t="inlineStr"/>
    </row>
    <row r="16">
      <c r="A16" s="13" t="inlineStr">
        <is>
          <t>Pelanggan</t>
        </is>
      </c>
      <c r="B16" s="14" t="inlineStr">
        <is>
          <t>TC-CU-15</t>
        </is>
      </c>
      <c r="C16" s="19" t="inlineStr">
        <is>
          <t>P2</t>
        </is>
      </c>
      <c r="D16" s="13" t="inlineStr">
        <is>
          <t>Buka Riwayat sebagai tamu</t>
        </is>
      </c>
      <c r="E16" s="13" t="inlineStr">
        <is>
          <t>Riwayat tampil, disertai keterangan bahwa datanya hanya tersimpan di HP ini</t>
        </is>
      </c>
      <c r="F16" s="13" t="inlineStr">
        <is>
          <t>F-CU-12</t>
        </is>
      </c>
      <c r="G16" s="13" t="inlineStr"/>
      <c r="H16" s="13" t="inlineStr"/>
      <c r="I16" s="13" t="inlineStr"/>
    </row>
    <row r="17">
      <c r="A17" s="16" t="inlineStr">
        <is>
          <t>Pelanggan</t>
        </is>
      </c>
      <c r="B17" s="17" t="inlineStr">
        <is>
          <t>TC-CU-16</t>
        </is>
      </c>
      <c r="C17" s="20" t="inlineStr">
        <is>
          <t>P2</t>
        </is>
      </c>
      <c r="D17" s="16" t="inlineStr">
        <is>
          <t>Ubah nama dan nomor HP di Profil, lalu hapus foto</t>
        </is>
      </c>
      <c r="E17" s="16" t="inlineStr">
        <is>
          <t>Perubahan tersimpan; foto benar-benar hilang, bukan kembali setelah dibuka ulang</t>
        </is>
      </c>
      <c r="F17" s="16" t="inlineStr">
        <is>
          <t>F-CU-14</t>
        </is>
      </c>
      <c r="G17" s="16" t="inlineStr"/>
      <c r="H17" s="16" t="inlineStr"/>
      <c r="I17" s="16" t="inlineStr"/>
    </row>
    <row r="18">
      <c r="A18" s="13" t="inlineStr">
        <is>
          <t>Pelanggan</t>
        </is>
      </c>
      <c r="B18" s="14" t="inlineStr">
        <is>
          <t>TC-CU-17</t>
        </is>
      </c>
      <c r="C18" s="21" t="inlineStr">
        <is>
          <t>P3</t>
        </is>
      </c>
      <c r="D18" s="13" t="inlineStr">
        <is>
          <t>Ketuk Buka di Google Maps dari halaman menu</t>
        </is>
      </c>
      <c r="E18" s="13" t="inlineStr">
        <is>
          <t>Peta terbuka pada titik resto itu</t>
        </is>
      </c>
      <c r="F18" s="13" t="inlineStr">
        <is>
          <t>F-CU-15</t>
        </is>
      </c>
      <c r="G18" s="13" t="inlineStr"/>
      <c r="H18" s="13" t="inlineStr"/>
      <c r="I18" s="13" t="inlineStr"/>
    </row>
    <row r="19">
      <c r="A19" s="16" t="inlineStr">
        <is>
          <t>Pelanggan</t>
        </is>
      </c>
      <c r="B19" s="17" t="inlineStr">
        <is>
          <t>TC-CU-18</t>
        </is>
      </c>
      <c r="C19" s="20" t="inlineStr">
        <is>
          <t>P2</t>
        </is>
      </c>
      <c r="D19" s="16" t="inlineStr">
        <is>
          <t>Gulir daftar menu ke bawah</t>
        </is>
      </c>
      <c r="E19" s="16" t="inlineStr">
        <is>
          <t>Banner promo ikut tergulir, tidak menempel di atas</t>
        </is>
      </c>
      <c r="F19" s="16" t="inlineStr">
        <is>
          <t>F-CU-16, A-12</t>
        </is>
      </c>
      <c r="G19" s="16" t="inlineStr"/>
      <c r="H19" s="16" t="inlineStr"/>
      <c r="I19" s="16" t="inlineStr"/>
    </row>
    <row r="20">
      <c r="A20" s="13" t="inlineStr">
        <is>
          <t>Pelanggan</t>
        </is>
      </c>
      <c r="B20" s="14" t="inlineStr">
        <is>
          <t>TC-CU-19</t>
        </is>
      </c>
      <c r="C20" s="19" t="inlineStr">
        <is>
          <t>P2</t>
        </is>
      </c>
      <c r="D20" s="13" t="inlineStr">
        <is>
          <t>Ketuk banner promo</t>
        </is>
      </c>
      <c r="E20" s="13" t="inlineStr">
        <is>
          <t>Gambar tampil utuh, tidak terpotong, berikut keterangan dan periodenya</t>
        </is>
      </c>
      <c r="F20" s="13" t="inlineStr">
        <is>
          <t>F-CU-16</t>
        </is>
      </c>
      <c r="G20" s="13" t="inlineStr"/>
      <c r="H20" s="13" t="inlineStr"/>
      <c r="I20" s="13" t="inlineStr"/>
    </row>
    <row r="21">
      <c r="A21" s="16" t="inlineStr">
        <is>
          <t>Pelanggan</t>
        </is>
      </c>
      <c r="B21" s="17" t="inlineStr">
        <is>
          <t>TC-CU-20</t>
        </is>
      </c>
      <c r="C21" s="18" t="inlineStr">
        <is>
          <t>P1</t>
        </is>
      </c>
      <c r="D21" s="16" t="inlineStr">
        <is>
          <t>Pesan menu yang sedang ada promonya</t>
        </is>
      </c>
      <c r="E21" s="16" t="inlineStr">
        <is>
          <t>Potongan tampil sebagai baris tersendiri berikut nama promonya</t>
        </is>
      </c>
      <c r="F21" s="16" t="inlineStr">
        <is>
          <t>F-CU-17, F-DS-07</t>
        </is>
      </c>
      <c r="G21" s="16" t="inlineStr"/>
      <c r="H21" s="16" t="inlineStr"/>
      <c r="I21" s="16" t="inlineStr"/>
    </row>
    <row r="22">
      <c r="A22" s="13" t="inlineStr">
        <is>
          <t>Pelanggan</t>
        </is>
      </c>
      <c r="B22" s="14" t="inlineStr">
        <is>
          <t>TC-CU-21</t>
        </is>
      </c>
      <c r="C22" s="19" t="inlineStr">
        <is>
          <t>P2</t>
        </is>
      </c>
      <c r="D22" s="13" t="inlineStr">
        <is>
          <t>Buka menu yang ditandai habis</t>
        </is>
      </c>
      <c r="E22" s="13" t="inlineStr">
        <is>
          <t>Tetap tampil dengan tanda habis; tombol tambah tidak aktif</t>
        </is>
      </c>
      <c r="F22" s="13" t="inlineStr">
        <is>
          <t>F-CU-21</t>
        </is>
      </c>
      <c r="G22" s="13" t="inlineStr"/>
      <c r="H22" s="13" t="inlineStr"/>
      <c r="I22" s="13" t="inlineStr"/>
    </row>
    <row r="23">
      <c r="A23" s="16" t="inlineStr">
        <is>
          <t>Pelanggan</t>
        </is>
      </c>
      <c r="B23" s="17" t="inlineStr">
        <is>
          <t>TC-CU-22</t>
        </is>
      </c>
      <c r="C23" s="18" t="inlineStr">
        <is>
          <t>P1</t>
        </is>
      </c>
      <c r="D23" s="16" t="inlineStr">
        <is>
          <t>Isi keranjang → minta admin menandai salah satu menu habis → tekan bayar</t>
        </is>
      </c>
      <c r="E23" s="16" t="inlineStr">
        <is>
          <t>Ditolak dengan sebutan menu mana; menunya harus dihapus dulu</t>
        </is>
      </c>
      <c r="F23" s="16" t="inlineStr">
        <is>
          <t>F-CU-22</t>
        </is>
      </c>
      <c r="G23" s="16" t="inlineStr"/>
      <c r="H23" s="16" t="inlineStr"/>
      <c r="I23" s="16" t="inlineStr"/>
    </row>
    <row r="24">
      <c r="A24" s="13" t="inlineStr">
        <is>
          <t>Pelanggan</t>
        </is>
      </c>
      <c r="B24" s="14" t="inlineStr">
        <is>
          <t>TC-CU-23</t>
        </is>
      </c>
      <c r="C24" s="21" t="inlineStr">
        <is>
          <t>P3</t>
        </is>
      </c>
      <c r="D24" s="13" t="inlineStr">
        <is>
          <t>Buka Kotak Masuk dari menu utama</t>
        </is>
      </c>
      <c r="E24" s="13" t="inlineStr">
        <is>
          <t>Berisi promo resto yang pernah dipesan, tiap pesan menyebut nama restonya</t>
        </is>
      </c>
      <c r="F24" s="13" t="inlineStr">
        <is>
          <t>F-CU-20, F-IN-13</t>
        </is>
      </c>
      <c r="G24" s="13" t="inlineStr"/>
      <c r="H24" s="13" t="inlineStr"/>
      <c r="I24" s="13" t="inlineStr"/>
    </row>
    <row r="25">
      <c r="A25" s="16" t="inlineStr">
        <is>
          <t>Pelanggan</t>
        </is>
      </c>
      <c r="B25" s="17" t="inlineStr">
        <is>
          <t>TC-CU-24</t>
        </is>
      </c>
      <c r="C25" s="20" t="inlineStr">
        <is>
          <t>P2</t>
        </is>
      </c>
      <c r="D25" s="16" t="inlineStr">
        <is>
          <t>Kotak Masuk → pilih beberapa → Hapus</t>
        </is>
      </c>
      <c r="E25" s="16" t="inlineStr">
        <is>
          <t>Hanya yang terpilih hilang, dan hanya dari kotak masuk orang ini</t>
        </is>
      </c>
      <c r="F25" s="16" t="inlineStr">
        <is>
          <t>F-IN-03, F-IN-15</t>
        </is>
      </c>
      <c r="G25" s="16" t="inlineStr"/>
      <c r="H25" s="16" t="inlineStr"/>
      <c r="I25" s="16" t="inlineStr"/>
    </row>
    <row r="26">
      <c r="A26" s="13" t="inlineStr">
        <is>
          <t>Pelanggan</t>
        </is>
      </c>
      <c r="B26" s="14" t="inlineStr">
        <is>
          <t>TC-CU-25</t>
        </is>
      </c>
      <c r="C26" s="21" t="inlineStr">
        <is>
          <t>P3</t>
        </is>
      </c>
      <c r="D26" s="13" t="inlineStr">
        <is>
          <t>Ganti tampilan dari menu utama pelanggan</t>
        </is>
      </c>
      <c r="E26" s="13" t="inlineStr">
        <is>
          <t>Tema berganti seketika dan bertahan setelah aplikasi ditutup</t>
        </is>
      </c>
      <c r="F26" s="13" t="inlineStr">
        <is>
          <t>F-CU-24, F-TM-03</t>
        </is>
      </c>
      <c r="G26" s="13" t="inlineStr"/>
      <c r="H26" s="13" t="inlineStr"/>
      <c r="I26" s="13" t="inlineStr"/>
    </row>
    <row r="27">
      <c r="A27" s="16" t="inlineStr">
        <is>
          <t>Kasir</t>
        </is>
      </c>
      <c r="B27" s="17" t="inlineStr">
        <is>
          <t>TC-KS-01</t>
        </is>
      </c>
      <c r="C27" s="20" t="inlineStr">
        <is>
          <t>P2</t>
        </is>
      </c>
      <c r="D27" s="16" t="inlineStr">
        <is>
          <t>Buka Input Pesanan</t>
        </is>
      </c>
      <c r="E27" s="16" t="inlineStr">
        <is>
          <t>Menu tersusun per kategori; sisa stok tampil di pojok kartu</t>
        </is>
      </c>
      <c r="F27" s="16" t="inlineStr">
        <is>
          <t>F-KS-01</t>
        </is>
      </c>
      <c r="G27" s="16" t="inlineStr"/>
      <c r="H27" s="16" t="inlineStr"/>
      <c r="I27" s="16" t="inlineStr"/>
    </row>
    <row r="28">
      <c r="A28" s="13" t="inlineStr">
        <is>
          <t>Kasir</t>
        </is>
      </c>
      <c r="B28" s="14" t="inlineStr">
        <is>
          <t>TC-KS-02</t>
        </is>
      </c>
      <c r="C28" s="15" t="inlineStr">
        <is>
          <t>P1</t>
        </is>
      </c>
      <c r="D28" s="13" t="inlineStr">
        <is>
          <t>Checkout Dine In tanpa nomor meja</t>
        </is>
      </c>
      <c r="E28" s="13" t="inlineStr">
        <is>
          <t>Ketiga tombol pembayaran mati</t>
        </is>
      </c>
      <c r="F28" s="13" t="inlineStr">
        <is>
          <t>F-KS-04</t>
        </is>
      </c>
      <c r="G28" s="13" t="inlineStr"/>
      <c r="H28" s="13" t="inlineStr"/>
      <c r="I28" s="13" t="inlineStr"/>
    </row>
    <row r="29">
      <c r="A29" s="16" t="inlineStr">
        <is>
          <t>Kasir</t>
        </is>
      </c>
      <c r="B29" s="17" t="inlineStr">
        <is>
          <t>TC-KS-03</t>
        </is>
      </c>
      <c r="C29" s="18" t="inlineStr">
        <is>
          <t>P1</t>
        </is>
      </c>
      <c r="D29" s="16" t="inlineStr">
        <is>
          <t>Checkout Take Away tanpa nama pelanggan</t>
        </is>
      </c>
      <c r="E29" s="16" t="inlineStr">
        <is>
          <t>Tombol pembayaran mati; yang diminta nama, bukan nomor meja</t>
        </is>
      </c>
      <c r="F29" s="16" t="inlineStr">
        <is>
          <t>F-KS-08</t>
        </is>
      </c>
      <c r="G29" s="16" t="inlineStr"/>
      <c r="H29" s="16" t="inlineStr"/>
      <c r="I29" s="16" t="inlineStr"/>
    </row>
    <row r="30">
      <c r="A30" s="13" t="inlineStr">
        <is>
          <t>Kasir</t>
        </is>
      </c>
      <c r="B30" s="14" t="inlineStr">
        <is>
          <t>TC-KS-04</t>
        </is>
      </c>
      <c r="C30" s="15" t="inlineStr">
        <is>
          <t>P1</t>
        </is>
      </c>
      <c r="D30" s="13" t="inlineStr">
        <is>
          <t>Bayar tunai, isi uang kurang dari total</t>
        </is>
      </c>
      <c r="E30" s="13" t="inlineStr">
        <is>
          <t>Tombol terima mati; kembalian tidak dihitung</t>
        </is>
      </c>
      <c r="F30" s="13" t="inlineStr">
        <is>
          <t>F-KS-04</t>
        </is>
      </c>
      <c r="G30" s="13" t="inlineStr"/>
      <c r="H30" s="13" t="inlineStr"/>
      <c r="I30" s="13" t="inlineStr"/>
    </row>
    <row r="31">
      <c r="A31" s="16" t="inlineStr">
        <is>
          <t>Kasir</t>
        </is>
      </c>
      <c r="B31" s="17" t="inlineStr">
        <is>
          <t>TC-KS-05</t>
        </is>
      </c>
      <c r="C31" s="18" t="inlineStr">
        <is>
          <t>P1</t>
        </is>
      </c>
      <c r="D31" s="16" t="inlineStr">
        <is>
          <t>Bayar tunai Rp 100.000 untuk tagihan Rp 61.050</t>
        </is>
      </c>
      <c r="E31" s="16" t="inlineStr">
        <is>
          <t>Kembalian tertulis Rp 38.950</t>
        </is>
      </c>
      <c r="F31" s="16" t="inlineStr">
        <is>
          <t>F-KS-03</t>
        </is>
      </c>
      <c r="G31" s="16" t="inlineStr"/>
      <c r="H31" s="16" t="inlineStr"/>
      <c r="I31" s="16" t="inlineStr"/>
    </row>
    <row r="32">
      <c r="A32" s="13" t="inlineStr">
        <is>
          <t>Kasir</t>
        </is>
      </c>
      <c r="B32" s="14" t="inlineStr">
        <is>
          <t>TC-KS-06</t>
        </is>
      </c>
      <c r="C32" s="19" t="inlineStr">
        <is>
          <t>P2</t>
        </is>
      </c>
      <c r="D32" s="13" t="inlineStr">
        <is>
          <t>Pakai tombol nominal cepat</t>
        </is>
      </c>
      <c r="E32" s="13" t="inlineStr">
        <is>
          <t>Nilainya masuk ke kolom uang diterima, kembaliannya ikut berubah</t>
        </is>
      </c>
      <c r="F32" s="13" t="inlineStr">
        <is>
          <t>F-KS-03</t>
        </is>
      </c>
      <c r="G32" s="13" t="inlineStr"/>
      <c r="H32" s="13" t="inlineStr"/>
      <c r="I32" s="13" t="inlineStr"/>
    </row>
    <row r="33">
      <c r="A33" s="16" t="inlineStr">
        <is>
          <t>Kasir</t>
        </is>
      </c>
      <c r="B33" s="17" t="inlineStr">
        <is>
          <t>TC-KS-07</t>
        </is>
      </c>
      <c r="C33" s="18" t="inlineStr">
        <is>
          <t>P1</t>
        </is>
      </c>
      <c r="D33" s="16" t="inlineStr">
        <is>
          <t>Selesaikan pembayaran tunai</t>
        </is>
      </c>
      <c r="E33" s="16" t="inlineStr">
        <is>
          <t>Stok menu berkurang sesuai jumlah yang dipesan</t>
        </is>
      </c>
      <c r="F33" s="16" t="inlineStr">
        <is>
          <t>F-KS-01</t>
        </is>
      </c>
      <c r="G33" s="16" t="inlineStr"/>
      <c r="H33" s="16" t="inlineStr"/>
      <c r="I33" s="16" t="inlineStr"/>
    </row>
    <row r="34">
      <c r="A34" s="13" t="inlineStr">
        <is>
          <t>Kasir</t>
        </is>
      </c>
      <c r="B34" s="14" t="inlineStr">
        <is>
          <t>TC-KS-08</t>
        </is>
      </c>
      <c r="C34" s="15" t="inlineStr">
        <is>
          <t>P1</t>
        </is>
      </c>
      <c r="D34" s="13" t="inlineStr">
        <is>
          <t>Periksa struk hasil pembayaran tunai</t>
        </is>
      </c>
      <c r="E34" s="13" t="inlineStr">
        <is>
          <t>Memuat nama kasir, uang bayar, dan kembaliannya</t>
        </is>
      </c>
      <c r="F34" s="13" t="inlineStr">
        <is>
          <t>F-KS-05</t>
        </is>
      </c>
      <c r="G34" s="13" t="inlineStr"/>
      <c r="H34" s="13" t="inlineStr"/>
      <c r="I34" s="13" t="inlineStr"/>
    </row>
    <row r="35">
      <c r="A35" s="16" t="inlineStr">
        <is>
          <t>Kasir</t>
        </is>
      </c>
      <c r="B35" s="17" t="inlineStr">
        <is>
          <t>TC-KS-09</t>
        </is>
      </c>
      <c r="C35" s="20" t="inlineStr">
        <is>
          <t>P2</t>
        </is>
      </c>
      <c r="D35" s="16" t="inlineStr">
        <is>
          <t>Simpan struk ke galeri, bagikan, dan cetak</t>
        </is>
      </c>
      <c r="E35" s="16" t="inlineStr">
        <is>
          <t>Ketiganya berhasil; hasil cetaknya terbaca</t>
        </is>
      </c>
      <c r="F35" s="16" t="inlineStr">
        <is>
          <t>F-KS-05</t>
        </is>
      </c>
      <c r="G35" s="16" t="inlineStr"/>
      <c r="H35" s="16" t="inlineStr"/>
      <c r="I35" s="16" t="inlineStr"/>
    </row>
    <row r="36">
      <c r="A36" s="13" t="inlineStr">
        <is>
          <t>Kasir</t>
        </is>
      </c>
      <c r="B36" s="14" t="inlineStr">
        <is>
          <t>TC-KS-10</t>
        </is>
      </c>
      <c r="C36" s="19" t="inlineStr">
        <is>
          <t>P2</t>
        </is>
      </c>
      <c r="D36" s="13" t="inlineStr">
        <is>
          <t>Buka Riwayat Kasir → pilih transaksi lama → cetak ulang</t>
        </is>
      </c>
      <c r="E36" s="13" t="inlineStr">
        <is>
          <t>Struk lama tampil apa adanya, termasuk diskon yang berlaku saat itu</t>
        </is>
      </c>
      <c r="F36" s="13" t="inlineStr">
        <is>
          <t>F-KS-06, F-DS-08</t>
        </is>
      </c>
      <c r="G36" s="13" t="inlineStr"/>
      <c r="H36" s="13" t="inlineStr"/>
      <c r="I36" s="13" t="inlineStr"/>
    </row>
    <row r="37">
      <c r="A37" s="16" t="inlineStr">
        <is>
          <t>Kasir</t>
        </is>
      </c>
      <c r="B37" s="17" t="inlineStr">
        <is>
          <t>TC-KS-11</t>
        </is>
      </c>
      <c r="C37" s="18" t="inlineStr">
        <is>
          <t>P1</t>
        </is>
      </c>
      <c r="D37" s="16" t="inlineStr">
        <is>
          <t>Riwayat Kasir hari ini</t>
        </is>
      </c>
      <c r="E37" s="16" t="inlineStr">
        <is>
          <t>Dikelompokkan per hari; rincian per metode bayar berjumlah sama dengan totalnya</t>
        </is>
      </c>
      <c r="F37" s="16" t="inlineStr">
        <is>
          <t>F-KS-07, A-03</t>
        </is>
      </c>
      <c r="G37" s="16" t="inlineStr"/>
      <c r="H37" s="16" t="inlineStr"/>
      <c r="I37" s="16" t="inlineStr"/>
    </row>
    <row r="38">
      <c r="A38" s="13" t="inlineStr">
        <is>
          <t>Kasir</t>
        </is>
      </c>
      <c r="B38" s="14" t="inlineStr">
        <is>
          <t>TC-KS-12</t>
        </is>
      </c>
      <c r="C38" s="15" t="inlineStr">
        <is>
          <t>P1</t>
        </is>
      </c>
      <c r="D38" s="13" t="inlineStr">
        <is>
          <t>Bayar QRIS di kasir, periksa nominal di layar QR</t>
        </is>
      </c>
      <c r="E38" s="13" t="inlineStr">
        <is>
          <t>Nominalnya sudah termasuk service dan PPN, dan sudah dikurangi diskon</t>
        </is>
      </c>
      <c r="F38" s="13" t="inlineStr">
        <is>
          <t>F-KS-09, F-KS-11</t>
        </is>
      </c>
      <c r="G38" s="13" t="inlineStr"/>
      <c r="H38" s="13" t="inlineStr"/>
      <c r="I38" s="13" t="inlineStr"/>
    </row>
    <row r="39">
      <c r="A39" s="16" t="inlineStr">
        <is>
          <t>Kasir</t>
        </is>
      </c>
      <c r="B39" s="17" t="inlineStr">
        <is>
          <t>TC-KS-13</t>
        </is>
      </c>
      <c r="C39" s="20" t="inlineStr">
        <is>
          <t>P2</t>
        </is>
      </c>
      <c r="D39" s="16" t="inlineStr">
        <is>
          <t>Ketuk Cetak QR untuk Customer</t>
        </is>
      </c>
      <c r="E39" s="16" t="inlineStr">
        <is>
          <t>QR berbingkai KaataGo tercetak, bisa dipindai</t>
        </is>
      </c>
      <c r="F39" s="16" t="inlineStr">
        <is>
          <t>F-KS-10</t>
        </is>
      </c>
      <c r="G39" s="16" t="inlineStr"/>
      <c r="H39" s="16" t="inlineStr"/>
      <c r="I39" s="16" t="inlineStr"/>
    </row>
    <row r="40">
      <c r="A40" s="13" t="inlineStr">
        <is>
          <t>Kasir</t>
        </is>
      </c>
      <c r="B40" s="14" t="inlineStr">
        <is>
          <t>TC-KS-14</t>
        </is>
      </c>
      <c r="C40" s="15" t="inlineStr">
        <is>
          <t>P1</t>
        </is>
      </c>
      <c r="D40" s="13" t="inlineStr">
        <is>
          <t>Isi keranjang → tandai salah satu menu habis dari perangkat lain → terima pembayaran</t>
        </is>
      </c>
      <c r="E40" s="13" t="inlineStr">
        <is>
          <t>Ditolak sebelum uang diterima</t>
        </is>
      </c>
      <c r="F40" s="13" t="inlineStr">
        <is>
          <t>F-KS-12</t>
        </is>
      </c>
      <c r="G40" s="13" t="inlineStr"/>
      <c r="H40" s="13" t="inlineStr"/>
      <c r="I40" s="13" t="inlineStr"/>
    </row>
    <row r="41">
      <c r="A41" s="16" t="inlineStr">
        <is>
          <t>Kasir</t>
        </is>
      </c>
      <c r="B41" s="17" t="inlineStr">
        <is>
          <t>TC-KS-15</t>
        </is>
      </c>
      <c r="C41" s="20" t="inlineStr">
        <is>
          <t>P2</t>
        </is>
      </c>
      <c r="D41" s="16" t="inlineStr">
        <is>
          <t>Saldo &amp; Pengeluaran → buka salah satu baris</t>
        </is>
      </c>
      <c r="E41" s="16" t="inlineStr">
        <is>
          <t>Rincian jurnal GL di baliknya terbuka, isinya sama dengan yang dilihat Finance</t>
        </is>
      </c>
      <c r="F41" s="16" t="inlineStr">
        <is>
          <t>F-KS-13</t>
        </is>
      </c>
      <c r="G41" s="16" t="inlineStr"/>
      <c r="H41" s="16" t="inlineStr"/>
      <c r="I41" s="16" t="inlineStr"/>
    </row>
    <row r="42">
      <c r="A42" s="13" t="inlineStr">
        <is>
          <t>Kasir</t>
        </is>
      </c>
      <c r="B42" s="14" t="inlineStr">
        <is>
          <t>TC-KS-16</t>
        </is>
      </c>
      <c r="C42" s="19" t="inlineStr">
        <is>
          <t>P2</t>
        </is>
      </c>
      <c r="D42" s="13" t="inlineStr">
        <is>
          <t>Buka Diskon dari hub Kasir → Ubah Diskon</t>
        </is>
      </c>
      <c r="E42" s="13" t="inlineStr">
        <is>
          <t>Daftar menu termuat; tidak tertulis "Belum ada produk di resto ini"</t>
        </is>
      </c>
      <c r="F42" s="13" t="inlineStr">
        <is>
          <t>F-DS-01</t>
        </is>
      </c>
      <c r="G42" s="13" t="inlineStr"/>
      <c r="H42" s="13" t="inlineStr"/>
      <c r="I42" s="13" t="inlineStr"/>
    </row>
    <row r="43">
      <c r="A43" s="16" t="inlineStr">
        <is>
          <t>Pending Payment</t>
        </is>
      </c>
      <c r="B43" s="17" t="inlineStr">
        <is>
          <t>TC-PP-01</t>
        </is>
      </c>
      <c r="C43" s="18" t="inlineStr">
        <is>
          <t>P1</t>
        </is>
      </c>
      <c r="D43" s="16" t="inlineStr">
        <is>
          <t>Pelanggan memesan, pilih Tunai</t>
        </is>
      </c>
      <c r="E43" s="16" t="inlineStr">
        <is>
          <t>Pesanannya muncul di Pending Payment dalam hitungan detik</t>
        </is>
      </c>
      <c r="F43" s="16" t="inlineStr">
        <is>
          <t>F-PP-01</t>
        </is>
      </c>
      <c r="G43" s="16" t="inlineStr"/>
      <c r="H43" s="16" t="inlineStr"/>
      <c r="I43" s="16" t="inlineStr"/>
    </row>
    <row r="44">
      <c r="A44" s="13" t="inlineStr">
        <is>
          <t>Pending Payment</t>
        </is>
      </c>
      <c r="B44" s="14" t="inlineStr">
        <is>
          <t>TC-PP-02</t>
        </is>
      </c>
      <c r="C44" s="15" t="inlineStr">
        <is>
          <t>P1</t>
        </is>
      </c>
      <c r="D44" s="13" t="inlineStr">
        <is>
          <t>Periksa kepala layar</t>
        </is>
      </c>
      <c r="E44" s="13" t="inlineStr">
        <is>
          <t>Jumlah pesanan dan total nominal yang menunggu tampil dan cocok dengan isi daftarnya</t>
        </is>
      </c>
      <c r="F44" s="13" t="inlineStr">
        <is>
          <t>F-PP-02</t>
        </is>
      </c>
      <c r="G44" s="13" t="inlineStr"/>
      <c r="H44" s="13" t="inlineStr"/>
      <c r="I44" s="13" t="inlineStr"/>
    </row>
    <row r="45">
      <c r="A45" s="16" t="inlineStr">
        <is>
          <t>Pending Payment</t>
        </is>
      </c>
      <c r="B45" s="17" t="inlineStr">
        <is>
          <t>TC-PP-03</t>
        </is>
      </c>
      <c r="C45" s="20" t="inlineStr">
        <is>
          <t>P2</t>
        </is>
      </c>
      <c r="D45" s="16" t="inlineStr">
        <is>
          <t>Buka rincian sebuah pesanan</t>
        </is>
      </c>
      <c r="E45" s="16" t="inlineStr">
        <is>
          <t>Item, catatan, biaya service, PPN, dan total tampil lengkap</t>
        </is>
      </c>
      <c r="F45" s="16" t="inlineStr">
        <is>
          <t>F-PP-03</t>
        </is>
      </c>
      <c r="G45" s="16" t="inlineStr"/>
      <c r="H45" s="16" t="inlineStr"/>
      <c r="I45" s="16" t="inlineStr"/>
    </row>
    <row r="46">
      <c r="A46" s="13" t="inlineStr">
        <is>
          <t>Pending Payment</t>
        </is>
      </c>
      <c r="B46" s="14" t="inlineStr">
        <is>
          <t>TC-PP-04</t>
        </is>
      </c>
      <c r="C46" s="15" t="inlineStr">
        <is>
          <t>P1</t>
        </is>
      </c>
      <c r="D46" s="13" t="inlineStr">
        <is>
          <t>Ketuk tombol terima pembayaran dua kali beruntun</t>
        </is>
      </c>
      <c r="E46" s="13" t="inlineStr">
        <is>
          <t>Pesanan lunas sekali; tidak ada jurnal ganda, tidak ada dua baris di Riwayat Kasir</t>
        </is>
      </c>
      <c r="F46" s="13" t="inlineStr">
        <is>
          <t>F-PP-05</t>
        </is>
      </c>
      <c r="G46" s="13" t="inlineStr"/>
      <c r="H46" s="13" t="inlineStr"/>
      <c r="I46" s="13" t="inlineStr"/>
    </row>
    <row r="47">
      <c r="A47" s="16" t="inlineStr">
        <is>
          <t>Pending Payment</t>
        </is>
      </c>
      <c r="B47" s="17" t="inlineStr">
        <is>
          <t>TC-PP-05</t>
        </is>
      </c>
      <c r="C47" s="18" t="inlineStr">
        <is>
          <t>P1</t>
        </is>
      </c>
      <c r="D47" s="16" t="inlineStr">
        <is>
          <t>Selesaikan pelunasan</t>
        </is>
      </c>
      <c r="E47" s="16" t="inlineStr">
        <is>
          <t>Pesanan hilang dari antrean seketika tanpa disegarkan</t>
        </is>
      </c>
      <c r="F47" s="16" t="inlineStr">
        <is>
          <t>F-PP-06</t>
        </is>
      </c>
      <c r="G47" s="16" t="inlineStr"/>
      <c r="H47" s="16" t="inlineStr"/>
      <c r="I47" s="16" t="inlineStr"/>
    </row>
    <row r="48">
      <c r="A48" s="13" t="inlineStr">
        <is>
          <t>Pending Payment</t>
        </is>
      </c>
      <c r="B48" s="14" t="inlineStr">
        <is>
          <t>TC-PP-06</t>
        </is>
      </c>
      <c r="C48" s="15" t="inlineStr">
        <is>
          <t>P1</t>
        </is>
      </c>
      <c r="D48" s="13" t="inlineStr">
        <is>
          <t>Lunasi dengan Tunai</t>
        </is>
      </c>
      <c r="E48" s="13" t="inlineStr">
        <is>
          <t>Muncul di Riwayat Kasir dan ikut dihitung di total harian</t>
        </is>
      </c>
      <c r="F48" s="13" t="inlineStr">
        <is>
          <t>F-PP-07, A-13</t>
        </is>
      </c>
      <c r="G48" s="13" t="inlineStr"/>
      <c r="H48" s="13" t="inlineStr"/>
      <c r="I48" s="13" t="inlineStr"/>
    </row>
    <row r="49">
      <c r="A49" s="16" t="inlineStr">
        <is>
          <t>Pending Payment</t>
        </is>
      </c>
      <c r="B49" s="17" t="inlineStr">
        <is>
          <t>TC-PP-07</t>
        </is>
      </c>
      <c r="C49" s="18" t="inlineStr">
        <is>
          <t>P1</t>
        </is>
      </c>
      <c r="D49" s="16" t="inlineStr">
        <is>
          <t>Lunasi dengan cara bayar diganti ke QRIS</t>
        </is>
      </c>
      <c r="E49" s="16" t="inlineStr">
        <is>
          <t>Tetap muncul di Riwayat Kasir</t>
        </is>
      </c>
      <c r="F49" s="16" t="inlineStr">
        <is>
          <t>F-PP-09, A-13</t>
        </is>
      </c>
      <c r="G49" s="16" t="inlineStr"/>
      <c r="H49" s="16" t="inlineStr"/>
      <c r="I49" s="16" t="inlineStr"/>
    </row>
    <row r="50">
      <c r="A50" s="13" t="inlineStr">
        <is>
          <t>Pending Payment</t>
        </is>
      </c>
      <c r="B50" s="14" t="inlineStr">
        <is>
          <t>TC-PP-08</t>
        </is>
      </c>
      <c r="C50" s="15" t="inlineStr">
        <is>
          <t>P1</t>
        </is>
      </c>
      <c r="D50" s="13" t="inlineStr">
        <is>
          <t>Lunasi dengan cara bayar diganti ke Transfer</t>
        </is>
      </c>
      <c r="E50" s="13" t="inlineStr">
        <is>
          <t>Tetap muncul di Riwayat Kasir</t>
        </is>
      </c>
      <c r="F50" s="13" t="inlineStr">
        <is>
          <t>F-PP-09, A-13</t>
        </is>
      </c>
      <c r="G50" s="13" t="inlineStr"/>
      <c r="H50" s="13" t="inlineStr"/>
      <c r="I50" s="13" t="inlineStr"/>
    </row>
    <row r="51">
      <c r="A51" s="16" t="inlineStr">
        <is>
          <t>Pending Payment</t>
        </is>
      </c>
      <c r="B51" s="17" t="inlineStr">
        <is>
          <t>TC-PP-09</t>
        </is>
      </c>
      <c r="C51" s="20" t="inlineStr">
        <is>
          <t>P2</t>
        </is>
      </c>
      <c r="D51" s="16" t="inlineStr">
        <is>
          <t>Periksa penanda merah di kartu menu</t>
        </is>
      </c>
      <c r="E51" s="16" t="inlineStr">
        <is>
          <t>Angkanya sama dengan jumlah antrean sebenarnya</t>
        </is>
      </c>
      <c r="F51" s="16" t="inlineStr">
        <is>
          <t>F-PP-08</t>
        </is>
      </c>
      <c r="G51" s="16" t="inlineStr"/>
      <c r="H51" s="16" t="inlineStr"/>
      <c r="I51" s="16" t="inlineStr"/>
    </row>
    <row r="52">
      <c r="A52" s="13" t="inlineStr">
        <is>
          <t>Pending Payment</t>
        </is>
      </c>
      <c r="B52" s="14" t="inlineStr">
        <is>
          <t>TC-PP-10</t>
        </is>
      </c>
      <c r="C52" s="19" t="inlineStr">
        <is>
          <t>P2</t>
        </is>
      </c>
      <c r="D52" s="13" t="inlineStr">
        <is>
          <t>Perhatikan sisa waktu di kartu</t>
        </is>
      </c>
      <c r="E52" s="13" t="inlineStr">
        <is>
          <t>Menghitung mundur; berubah warna pada 10 menit terakhir</t>
        </is>
      </c>
      <c r="F52" s="13" t="inlineStr">
        <is>
          <t>F-PP-10, F-CU-19</t>
        </is>
      </c>
      <c r="G52" s="13" t="inlineStr"/>
      <c r="H52" s="13" t="inlineStr"/>
      <c r="I52" s="13" t="inlineStr"/>
    </row>
    <row r="53">
      <c r="A53" s="16" t="inlineStr">
        <is>
          <t>Pending Payment</t>
        </is>
      </c>
      <c r="B53" s="17" t="inlineStr">
        <is>
          <t>TC-PP-11</t>
        </is>
      </c>
      <c r="C53" s="18" t="inlineStr">
        <is>
          <t>P1</t>
        </is>
      </c>
      <c r="D53" s="16" t="inlineStr">
        <is>
          <t>Pesanan QRIS yang belum dibayar</t>
        </is>
      </c>
      <c r="E53" s="16" t="inlineStr">
        <is>
          <t>Tidak muncul di Pending Payment — antrean ini hanya untuk yang bayar di kasir</t>
        </is>
      </c>
      <c r="F53" s="16" t="inlineStr">
        <is>
          <t>F-PP-01</t>
        </is>
      </c>
      <c r="G53" s="16" t="inlineStr"/>
      <c r="H53" s="16" t="inlineStr"/>
      <c r="I53" s="16" t="inlineStr"/>
    </row>
    <row r="54">
      <c r="A54" s="13" t="inlineStr">
        <is>
          <t>Pending Payment</t>
        </is>
      </c>
      <c r="B54" s="14" t="inlineStr">
        <is>
          <t>TC-PP-12</t>
        </is>
      </c>
      <c r="C54" s="15" t="inlineStr">
        <is>
          <t>P1</t>
        </is>
      </c>
      <c r="D54" s="13" t="inlineStr">
        <is>
          <t>Pelanggan membatalkan pesanannya saat kartunya terbuka di kasir</t>
        </is>
      </c>
      <c r="E54" s="13" t="inlineStr">
        <is>
          <t>Kartunya hilang dari antrean; kasir tidak bisa menerima uang untuk pesanan batal</t>
        </is>
      </c>
      <c r="F54" s="13" t="inlineStr">
        <is>
          <t>F-CN-01</t>
        </is>
      </c>
      <c r="G54" s="13" t="inlineStr"/>
      <c r="H54" s="13" t="inlineStr"/>
      <c r="I54" s="13" t="inlineStr"/>
    </row>
    <row r="55">
      <c r="A55" s="16" t="inlineStr">
        <is>
          <t>Dapur</t>
        </is>
      </c>
      <c r="B55" s="17" t="inlineStr">
        <is>
          <t>TC-CH-01</t>
        </is>
      </c>
      <c r="C55" s="20" t="inlineStr">
        <is>
          <t>P2</t>
        </is>
      </c>
      <c r="D55" s="16" t="inlineStr">
        <is>
          <t>Buka layar dapur</t>
        </is>
      </c>
      <c r="E55" s="16" t="inlineStr">
        <is>
          <t>Empat tab: Menunggu Bayar, Baru, Diproses, Selesai</t>
        </is>
      </c>
      <c r="F55" s="16" t="inlineStr">
        <is>
          <t>F-CH-01</t>
        </is>
      </c>
      <c r="G55" s="16" t="inlineStr"/>
      <c r="H55" s="16" t="inlineStr"/>
      <c r="I55" s="16" t="inlineStr"/>
    </row>
    <row r="56">
      <c r="A56" s="13" t="inlineStr">
        <is>
          <t>Dapur</t>
        </is>
      </c>
      <c r="B56" s="14" t="inlineStr">
        <is>
          <t>TC-CH-02</t>
        </is>
      </c>
      <c r="C56" s="15" t="inlineStr">
        <is>
          <t>P1</t>
        </is>
      </c>
      <c r="D56" s="13" t="inlineStr">
        <is>
          <t>Pesanan tunai yang belum dilunasi</t>
        </is>
      </c>
      <c r="E56" s="13" t="inlineStr">
        <is>
          <t>Ada di tab Menunggu Bayar, tidak bercampur di Baru</t>
        </is>
      </c>
      <c r="F56" s="13" t="inlineStr">
        <is>
          <t>F-CH-06, A-16</t>
        </is>
      </c>
      <c r="G56" s="13" t="inlineStr"/>
      <c r="H56" s="13" t="inlineStr"/>
      <c r="I56" s="13" t="inlineStr"/>
    </row>
    <row r="57">
      <c r="A57" s="16" t="inlineStr">
        <is>
          <t>Dapur</t>
        </is>
      </c>
      <c r="B57" s="17" t="inlineStr">
        <is>
          <t>TC-CH-03</t>
        </is>
      </c>
      <c r="C57" s="18" t="inlineStr">
        <is>
          <t>P1</t>
        </is>
      </c>
      <c r="D57" s="16" t="inlineStr">
        <is>
          <t>Buka kartu di tab Menunggu Bayar</t>
        </is>
      </c>
      <c r="E57" s="16" t="inlineStr">
        <is>
          <t>Tidak ada tombol Mulai Masak; yang tampil keterangan menunggu pembayaran</t>
        </is>
      </c>
      <c r="F57" s="16" t="inlineStr">
        <is>
          <t>F-CH-07, A-16</t>
        </is>
      </c>
      <c r="G57" s="16" t="inlineStr"/>
      <c r="H57" s="16" t="inlineStr"/>
      <c r="I57" s="16" t="inlineStr"/>
    </row>
    <row r="58">
      <c r="A58" s="13" t="inlineStr">
        <is>
          <t>Dapur</t>
        </is>
      </c>
      <c r="B58" s="14" t="inlineStr">
        <is>
          <t>TC-CH-04</t>
        </is>
      </c>
      <c r="C58" s="15" t="inlineStr">
        <is>
          <t>P1</t>
        </is>
      </c>
      <c r="D58" s="13" t="inlineStr">
        <is>
          <t>Kasir melunasi pesanan itu</t>
        </is>
      </c>
      <c r="E58" s="13" t="inlineStr">
        <is>
          <t>Kartunya berpindah ke tab Baru berikut tombol Mulai Masak</t>
        </is>
      </c>
      <c r="F58" s="13" t="inlineStr">
        <is>
          <t>F-CH-06</t>
        </is>
      </c>
      <c r="G58" s="13" t="inlineStr"/>
      <c r="H58" s="13" t="inlineStr"/>
      <c r="I58" s="13" t="inlineStr"/>
    </row>
    <row r="59">
      <c r="A59" s="16" t="inlineStr">
        <is>
          <t>Dapur</t>
        </is>
      </c>
      <c r="B59" s="17" t="inlineStr">
        <is>
          <t>TC-CH-05</t>
        </is>
      </c>
      <c r="C59" s="20" t="inlineStr">
        <is>
          <t>P2</t>
        </is>
      </c>
      <c r="D59" s="16" t="inlineStr">
        <is>
          <t>Mulai Masak, centang sebagian menu</t>
        </is>
      </c>
      <c r="E59" s="16" t="inlineStr">
        <is>
          <t>Tombolnya berbunyi Simpan Progres; pesanan tetap di Diproses</t>
        </is>
      </c>
      <c r="F59" s="16" t="inlineStr">
        <is>
          <t>F-CH-02</t>
        </is>
      </c>
      <c r="G59" s="16" t="inlineStr"/>
      <c r="H59" s="16" t="inlineStr"/>
      <c r="I59" s="16" t="inlineStr"/>
    </row>
    <row r="60">
      <c r="A60" s="13" t="inlineStr">
        <is>
          <t>Dapur</t>
        </is>
      </c>
      <c r="B60" s="14" t="inlineStr">
        <is>
          <t>TC-CH-06</t>
        </is>
      </c>
      <c r="C60" s="19" t="inlineStr">
        <is>
          <t>P2</t>
        </is>
      </c>
      <c r="D60" s="13" t="inlineStr">
        <is>
          <t>Centang seluruh menu</t>
        </is>
      </c>
      <c r="E60" s="13" t="inlineStr">
        <is>
          <t>Tombolnya berubah jadi Tandai Pesanan Selesai</t>
        </is>
      </c>
      <c r="F60" s="13" t="inlineStr">
        <is>
          <t>F-CH-02</t>
        </is>
      </c>
      <c r="G60" s="13" t="inlineStr"/>
      <c r="H60" s="13" t="inlineStr"/>
      <c r="I60" s="13" t="inlineStr"/>
    </row>
    <row r="61">
      <c r="A61" s="16" t="inlineStr">
        <is>
          <t>Dapur</t>
        </is>
      </c>
      <c r="B61" s="17" t="inlineStr">
        <is>
          <t>TC-CH-07</t>
        </is>
      </c>
      <c r="C61" s="20" t="inlineStr">
        <is>
          <t>P2</t>
        </is>
      </c>
      <c r="D61" s="16" t="inlineStr">
        <is>
          <t>Buka tab Selesai</t>
        </is>
      </c>
      <c r="E61" s="16" t="inlineStr">
        <is>
          <t>Dikelompokkan per tanggal, seluruhnya tertutup saat pertama dibuka</t>
        </is>
      </c>
      <c r="F61" s="16" t="inlineStr">
        <is>
          <t>F-CH-03</t>
        </is>
      </c>
      <c r="G61" s="16" t="inlineStr"/>
      <c r="H61" s="16" t="inlineStr"/>
      <c r="I61" s="16" t="inlineStr"/>
    </row>
    <row r="62">
      <c r="A62" s="13" t="inlineStr">
        <is>
          <t>Dapur</t>
        </is>
      </c>
      <c r="B62" s="14" t="inlineStr">
        <is>
          <t>TC-CH-08</t>
        </is>
      </c>
      <c r="C62" s="15" t="inlineStr">
        <is>
          <t>P1</t>
        </is>
      </c>
      <c r="D62" s="13" t="inlineStr">
        <is>
          <t>Pelanggan membatalkan pesanan yang masih di tab Baru</t>
        </is>
      </c>
      <c r="E62" s="13" t="inlineStr">
        <is>
          <t>Kartunya hilang dari semua tab</t>
        </is>
      </c>
      <c r="F62" s="13" t="inlineStr">
        <is>
          <t>F-CH-08, A-17</t>
        </is>
      </c>
      <c r="G62" s="13" t="inlineStr"/>
      <c r="H62" s="13" t="inlineStr"/>
      <c r="I62" s="13" t="inlineStr"/>
    </row>
    <row r="63">
      <c r="A63" s="16" t="inlineStr">
        <is>
          <t>Dapur</t>
        </is>
      </c>
      <c r="B63" s="17" t="inlineStr">
        <is>
          <t>TC-CH-09</t>
        </is>
      </c>
      <c r="C63" s="18" t="inlineStr">
        <is>
          <t>P1</t>
        </is>
      </c>
      <c r="D63" s="16" t="inlineStr">
        <is>
          <t>Biarkan pesanan tunai lewat 30 menit</t>
        </is>
      </c>
      <c r="E63" s="16" t="inlineStr">
        <is>
          <t>Kartunya hilang dari semua tab</t>
        </is>
      </c>
      <c r="F63" s="16" t="inlineStr">
        <is>
          <t>F-CH-08, F-CN-05</t>
        </is>
      </c>
      <c r="G63" s="16" t="inlineStr"/>
      <c r="H63" s="16" t="inlineStr"/>
      <c r="I63" s="16" t="inlineStr"/>
    </row>
    <row r="64">
      <c r="A64" s="13" t="inlineStr">
        <is>
          <t>Dapur</t>
        </is>
      </c>
      <c r="B64" s="14" t="inlineStr">
        <is>
          <t>TC-CH-10</t>
        </is>
      </c>
      <c r="C64" s="19" t="inlineStr">
        <is>
          <t>P2</t>
        </is>
      </c>
      <c r="D64" s="13" t="inlineStr">
        <is>
          <t>Buka layar dapur sebagai Owner</t>
        </is>
      </c>
      <c r="E64" s="13" t="inlineStr">
        <is>
          <t>Tombol Keluar, Kotak Masuk, Tes Notifikasi, dan Tampilan tidak ada</t>
        </is>
      </c>
      <c r="F64" s="13" t="inlineStr">
        <is>
          <t>F-CH-05</t>
        </is>
      </c>
      <c r="G64" s="13" t="inlineStr"/>
      <c r="H64" s="13" t="inlineStr"/>
      <c r="I64" s="13" t="inlineStr"/>
    </row>
    <row r="65">
      <c r="A65" s="16" t="inlineStr">
        <is>
          <t>Dapur</t>
        </is>
      </c>
      <c r="B65" s="17" t="inlineStr">
        <is>
          <t>TC-CH-11</t>
        </is>
      </c>
      <c r="C65" s="22" t="inlineStr">
        <is>
          <t>P3</t>
        </is>
      </c>
      <c r="D65" s="16" t="inlineStr">
        <is>
          <t>Ganti tema dari layar dapur</t>
        </is>
      </c>
      <c r="E65" s="16" t="inlineStr">
        <is>
          <t>Seluruh isi layar ikut berganti — tidak ada kartu yang tertinggal warna lama</t>
        </is>
      </c>
      <c r="F65" s="16" t="inlineStr">
        <is>
          <t>F-TM-02, A-18</t>
        </is>
      </c>
      <c r="G65" s="16" t="inlineStr"/>
      <c r="H65" s="16" t="inlineStr"/>
      <c r="I65" s="16" t="inlineStr"/>
    </row>
    <row r="66">
      <c r="A66" s="13" t="inlineStr">
        <is>
          <t>Dapur</t>
        </is>
      </c>
      <c r="B66" s="14" t="inlineStr">
        <is>
          <t>TC-CH-12</t>
        </is>
      </c>
      <c r="C66" s="21" t="inlineStr">
        <is>
          <t>P3</t>
        </is>
      </c>
      <c r="D66" s="13" t="inlineStr">
        <is>
          <t>Periksa judul tiap tab</t>
        </is>
      </c>
      <c r="E66" s="13" t="inlineStr">
        <is>
          <t>Terbaca rata tengah</t>
        </is>
      </c>
      <c r="F66" s="13" t="inlineStr">
        <is>
          <t>—</t>
        </is>
      </c>
      <c r="G66" s="13" t="inlineStr"/>
      <c r="H66" s="13" t="inlineStr"/>
      <c r="I66" s="13" t="inlineStr"/>
    </row>
    <row r="67">
      <c r="A67" s="16" t="inlineStr">
        <is>
          <t>Keuangan</t>
        </is>
      </c>
      <c r="B67" s="17" t="inlineStr">
        <is>
          <t>TC-FN-01</t>
        </is>
      </c>
      <c r="C67" s="18" t="inlineStr">
        <is>
          <t>P1</t>
        </is>
      </c>
      <c r="D67" s="16" t="inlineStr">
        <is>
          <t>Bandingkan Saldo Total dengan hitungan tangan</t>
        </is>
      </c>
      <c r="E67" s="16" t="inlineStr">
        <is>
          <t>Saldo Total = Penghasilan + Petty Cash + Setoran − Pengeluaran</t>
        </is>
      </c>
      <c r="F67" s="16" t="inlineStr">
        <is>
          <t>F-FN-01</t>
        </is>
      </c>
      <c r="G67" s="16" t="inlineStr"/>
      <c r="H67" s="16" t="inlineStr"/>
      <c r="I67" s="16" t="inlineStr"/>
    </row>
    <row r="68">
      <c r="A68" s="13" t="inlineStr">
        <is>
          <t>Keuangan</t>
        </is>
      </c>
      <c r="B68" s="14" t="inlineStr">
        <is>
          <t>TC-FN-02</t>
        </is>
      </c>
      <c r="C68" s="15" t="inlineStr">
        <is>
          <t>P1</t>
        </is>
      </c>
      <c r="D68" s="13" t="inlineStr">
        <is>
          <t>Bandingkan Saldo Cash dengan isi laci fisik saat tutup shift</t>
        </is>
      </c>
      <c r="E68" s="13" t="inlineStr">
        <is>
          <t>Cocok rupiah demi rupiah</t>
        </is>
      </c>
      <c r="F68" s="13" t="inlineStr">
        <is>
          <t>F-FN-02, A-03</t>
        </is>
      </c>
      <c r="G68" s="13" t="inlineStr"/>
      <c r="H68" s="13" t="inlineStr"/>
      <c r="I68" s="13" t="inlineStr"/>
    </row>
    <row r="69">
      <c r="A69" s="16" t="inlineStr">
        <is>
          <t>Keuangan</t>
        </is>
      </c>
      <c r="B69" s="17" t="inlineStr">
        <is>
          <t>TC-FN-03</t>
        </is>
      </c>
      <c r="C69" s="18" t="inlineStr">
        <is>
          <t>P1</t>
        </is>
      </c>
      <c r="D69" s="16" t="inlineStr">
        <is>
          <t>Kasir mengajukan top up petty cash Rp 100.000 → Finance menyetujui</t>
        </is>
      </c>
      <c r="E69" s="16" t="inlineStr">
        <is>
          <t>Petty Cash bertambah Rp 100.000, bukan Rp 200.000</t>
        </is>
      </c>
      <c r="F69" s="16" t="inlineStr">
        <is>
          <t>F-FN-03</t>
        </is>
      </c>
      <c r="G69" s="16" t="inlineStr"/>
      <c r="H69" s="16" t="inlineStr"/>
      <c r="I69" s="16" t="inlineStr"/>
    </row>
    <row r="70">
      <c r="A70" s="13" t="inlineStr">
        <is>
          <t>Keuangan</t>
        </is>
      </c>
      <c r="B70" s="14" t="inlineStr">
        <is>
          <t>TC-FN-04</t>
        </is>
      </c>
      <c r="C70" s="15" t="inlineStr">
        <is>
          <t>P1</t>
        </is>
      </c>
      <c r="D70" s="13" t="inlineStr">
        <is>
          <t>Buka jurnal dari pengajuan yang baru disetujui</t>
        </is>
      </c>
      <c r="E70" s="13" t="inlineStr">
        <is>
          <t>Dua baris: titipan suspense dilepas, dana masuk ke akun tujuan</t>
        </is>
      </c>
      <c r="F70" s="13" t="inlineStr">
        <is>
          <t>TSD §6.4</t>
        </is>
      </c>
      <c r="G70" s="13" t="inlineStr"/>
      <c r="H70" s="13" t="inlineStr"/>
      <c r="I70" s="13" t="inlineStr"/>
    </row>
    <row r="71">
      <c r="A71" s="16" t="inlineStr">
        <is>
          <t>Keuangan</t>
        </is>
      </c>
      <c r="B71" s="17" t="inlineStr">
        <is>
          <t>TC-FN-05</t>
        </is>
      </c>
      <c r="C71" s="18" t="inlineStr">
        <is>
          <t>P1</t>
        </is>
      </c>
      <c r="D71" s="16" t="inlineStr">
        <is>
          <t>Tolak sebuah pengajuan top up</t>
        </is>
      </c>
      <c r="E71" s="16" t="inlineStr">
        <is>
          <t>Dananya kembali ke asal; tidak ada sisa tersangkut di akun suspense</t>
        </is>
      </c>
      <c r="F71" s="16" t="inlineStr">
        <is>
          <t>F-SD-05, A-05</t>
        </is>
      </c>
      <c r="G71" s="16" t="inlineStr"/>
      <c r="H71" s="16" t="inlineStr"/>
      <c r="I71" s="16" t="inlineStr"/>
    </row>
    <row r="72">
      <c r="A72" s="13" t="inlineStr">
        <is>
          <t>Keuangan</t>
        </is>
      </c>
      <c r="B72" s="14" t="inlineStr">
        <is>
          <t>TC-FN-06</t>
        </is>
      </c>
      <c r="C72" s="15" t="inlineStr">
        <is>
          <t>P1</t>
        </is>
      </c>
      <c r="D72" s="13" t="inlineStr">
        <is>
          <t>Catat pengeluaran melebihi saldo petty cash</t>
        </is>
      </c>
      <c r="E72" s="13" t="inlineStr">
        <is>
          <t>Ditolak, dengan sebutan saldo tersedia</t>
        </is>
      </c>
      <c r="F72" s="13" t="inlineStr">
        <is>
          <t>F-FN-04</t>
        </is>
      </c>
      <c r="G72" s="13" t="inlineStr"/>
      <c r="H72" s="13" t="inlineStr"/>
      <c r="I72" s="13" t="inlineStr"/>
    </row>
    <row r="73">
      <c r="A73" s="16" t="inlineStr">
        <is>
          <t>Keuangan</t>
        </is>
      </c>
      <c r="B73" s="17" t="inlineStr">
        <is>
          <t>TC-FN-07</t>
        </is>
      </c>
      <c r="C73" s="20" t="inlineStr">
        <is>
          <t>P2</t>
        </is>
      </c>
      <c r="D73" s="16" t="inlineStr">
        <is>
          <t>Lampirkan foto nota pada pengeluaran, lalu buka lagi</t>
        </is>
      </c>
      <c r="E73" s="16" t="inlineStr">
        <is>
          <t>Fotonya tersimpan dan bisa dibuka besar</t>
        </is>
      </c>
      <c r="F73" s="16" t="inlineStr">
        <is>
          <t>F-FN-05, F-SD-06</t>
        </is>
      </c>
      <c r="G73" s="16" t="inlineStr"/>
      <c r="H73" s="16" t="inlineStr"/>
      <c r="I73" s="16" t="inlineStr"/>
    </row>
    <row r="74">
      <c r="A74" s="13" t="inlineStr">
        <is>
          <t>Keuangan</t>
        </is>
      </c>
      <c r="B74" s="14" t="inlineStr">
        <is>
          <t>TC-FN-08</t>
        </is>
      </c>
      <c r="C74" s="19" t="inlineStr">
        <is>
          <t>P2</t>
        </is>
      </c>
      <c r="D74" s="13" t="inlineStr">
        <is>
          <t>Buka Riwayat Pengeluaran</t>
        </is>
      </c>
      <c r="E74" s="13" t="inlineStr">
        <is>
          <t>Dikelompokkan per tanggal dan tertutup secara bawaan</t>
        </is>
      </c>
      <c r="F74" s="13" t="inlineStr">
        <is>
          <t>F-FN-06</t>
        </is>
      </c>
      <c r="G74" s="13" t="inlineStr"/>
      <c r="H74" s="13" t="inlineStr"/>
      <c r="I74" s="13" t="inlineStr"/>
    </row>
    <row r="75">
      <c r="A75" s="16" t="inlineStr">
        <is>
          <t>Keuangan</t>
        </is>
      </c>
      <c r="B75" s="17" t="inlineStr">
        <is>
          <t>TC-FN-09</t>
        </is>
      </c>
      <c r="C75" s="20" t="inlineStr">
        <is>
          <t>P2</t>
        </is>
      </c>
      <c r="D75" s="16" t="inlineStr">
        <is>
          <t>Buat pengajuan, buka Riwayat lagi</t>
        </is>
      </c>
      <c r="E75" s="16" t="inlineStr">
        <is>
          <t>Tanggal yang menyimpan pengajuan terbuka sendiri dan bertanda merah</t>
        </is>
      </c>
      <c r="F75" s="16" t="inlineStr">
        <is>
          <t>F-FN-07</t>
        </is>
      </c>
      <c r="G75" s="16" t="inlineStr"/>
      <c r="H75" s="16" t="inlineStr"/>
      <c r="I75" s="16" t="inlineStr"/>
    </row>
    <row r="76">
      <c r="A76" s="13" t="inlineStr">
        <is>
          <t>Keuangan</t>
        </is>
      </c>
      <c r="B76" s="14" t="inlineStr">
        <is>
          <t>TC-FN-10</t>
        </is>
      </c>
      <c r="C76" s="15" t="inlineStr">
        <is>
          <t>P1</t>
        </is>
      </c>
      <c r="D76" s="13" t="inlineStr">
        <is>
          <t>Buka jurnal GL di balik sebuah pesanan lunas</t>
        </is>
      </c>
      <c r="E76" s="13" t="inlineStr">
        <is>
          <t>Baris pemasukan, PPN, dan service tercatat terpisah, jumlahnya sama dengan totalnya</t>
        </is>
      </c>
      <c r="F76" s="13" t="inlineStr">
        <is>
          <t>F-FN-08, TSD §6</t>
        </is>
      </c>
      <c r="G76" s="13" t="inlineStr"/>
      <c r="H76" s="13" t="inlineStr"/>
      <c r="I76" s="13" t="inlineStr"/>
    </row>
    <row r="77">
      <c r="A77" s="16" t="inlineStr">
        <is>
          <t>Keuangan</t>
        </is>
      </c>
      <c r="B77" s="17" t="inlineStr">
        <is>
          <t>TC-FN-11</t>
        </is>
      </c>
      <c r="C77" s="18" t="inlineStr">
        <is>
          <t>P1</t>
        </is>
      </c>
      <c r="D77" s="16" t="inlineStr">
        <is>
          <t>Periksa arah debit/kredit di Jurnal GL</t>
        </is>
      </c>
      <c r="E77" s="16" t="inlineStr">
        <is>
          <t>Kredit = uang masuk, debit = uang keluar; arah panah mengikuti</t>
        </is>
      </c>
      <c r="F77" s="16" t="inlineStr">
        <is>
          <t>TSD §6.1</t>
        </is>
      </c>
      <c r="G77" s="16" t="inlineStr"/>
      <c r="H77" s="16" t="inlineStr"/>
      <c r="I77" s="16" t="inlineStr"/>
    </row>
    <row r="78">
      <c r="A78" s="13" t="inlineStr">
        <is>
          <t>Keuangan</t>
        </is>
      </c>
      <c r="B78" s="14" t="inlineStr">
        <is>
          <t>TC-FN-12</t>
        </is>
      </c>
      <c r="C78" s="15" t="inlineStr">
        <is>
          <t>P1</t>
        </is>
      </c>
      <c r="D78" s="13" t="inlineStr">
        <is>
          <t>Periksa jurnal pesanan berdiskon</t>
        </is>
      </c>
      <c r="E78" s="13" t="inlineStr">
        <is>
          <t>Diskon tercatat sebagai debit pada GL Diskon, bukan sebagai pengeluaran</t>
        </is>
      </c>
      <c r="F78" s="13" t="inlineStr">
        <is>
          <t>F-DS-09, TSD §6.3</t>
        </is>
      </c>
      <c r="G78" s="13" t="inlineStr"/>
      <c r="H78" s="13" t="inlineStr"/>
      <c r="I78" s="13" t="inlineStr"/>
    </row>
    <row r="79">
      <c r="A79" s="16" t="inlineStr">
        <is>
          <t>Keuangan</t>
        </is>
      </c>
      <c r="B79" s="17" t="inlineStr">
        <is>
          <t>TC-FN-13</t>
        </is>
      </c>
      <c r="C79" s="20" t="inlineStr">
        <is>
          <t>P2</t>
        </is>
      </c>
      <c r="D79" s="16" t="inlineStr">
        <is>
          <t>Ubah nomor GL sebuah metode bayar, lalu buat transaksi baru</t>
        </is>
      </c>
      <c r="E79" s="16" t="inlineStr">
        <is>
          <t>Transaksi baru memakai nomor baru; jurnal lama tidak berubah</t>
        </is>
      </c>
      <c r="F79" s="16" t="inlineStr">
        <is>
          <t>F-FN-09</t>
        </is>
      </c>
      <c r="G79" s="16" t="inlineStr"/>
      <c r="H79" s="16" t="inlineStr"/>
      <c r="I79" s="16" t="inlineStr"/>
    </row>
    <row r="80">
      <c r="A80" s="13" t="inlineStr">
        <is>
          <t>Keuangan</t>
        </is>
      </c>
      <c r="B80" s="14" t="inlineStr">
        <is>
          <t>TC-FN-14</t>
        </is>
      </c>
      <c r="C80" s="15" t="inlineStr">
        <is>
          <t>P1</t>
        </is>
      </c>
      <c r="D80" s="13" t="inlineStr">
        <is>
          <t>Ubah tarif PPN dari 11% ke 12%, buat pesanan baru</t>
        </is>
      </c>
      <c r="E80" s="13" t="inlineStr">
        <is>
          <t>Tagihan baru memakai 12%; pesanan lama tetap 11%</t>
        </is>
      </c>
      <c r="F80" s="13" t="inlineStr">
        <is>
          <t>F-FN-10</t>
        </is>
      </c>
      <c r="G80" s="13" t="inlineStr"/>
      <c r="H80" s="13" t="inlineStr"/>
      <c r="I80" s="13" t="inlineStr"/>
    </row>
    <row r="81">
      <c r="A81" s="16" t="inlineStr">
        <is>
          <t>Keuangan</t>
        </is>
      </c>
      <c r="B81" s="17" t="inlineStr">
        <is>
          <t>TC-FN-15</t>
        </is>
      </c>
      <c r="C81" s="20" t="inlineStr">
        <is>
          <t>P2</t>
        </is>
      </c>
      <c r="D81" s="16" t="inlineStr">
        <is>
          <t>Cetak/ekspor Laporan Transaksi untuk rentang tanggal</t>
        </is>
      </c>
      <c r="E81" s="16" t="inlineStr">
        <is>
          <t>PDF terbentuk; saldo awal + mutasi = saldo akhir</t>
        </is>
      </c>
      <c r="F81" s="16" t="inlineStr">
        <is>
          <t>F-FN-11</t>
        </is>
      </c>
      <c r="G81" s="16" t="inlineStr"/>
      <c r="H81" s="16" t="inlineStr"/>
      <c r="I81" s="16" t="inlineStr"/>
    </row>
    <row r="82">
      <c r="A82" s="13" t="inlineStr">
        <is>
          <t>Keuangan</t>
        </is>
      </c>
      <c r="B82" s="14" t="inlineStr">
        <is>
          <t>TC-FN-16</t>
        </is>
      </c>
      <c r="C82" s="19" t="inlineStr">
        <is>
          <t>P2</t>
        </is>
      </c>
      <c r="D82" s="13" t="inlineStr">
        <is>
          <t>Ganti resto dari pemilih di atas</t>
        </is>
      </c>
      <c r="E82" s="13" t="inlineStr">
        <is>
          <t>Seluruh angka di menu Finance ikut berganti</t>
        </is>
      </c>
      <c r="F82" s="13" t="inlineStr">
        <is>
          <t>F-AD-08, A-10</t>
        </is>
      </c>
      <c r="G82" s="13" t="inlineStr"/>
      <c r="H82" s="13" t="inlineStr"/>
      <c r="I82" s="13" t="inlineStr"/>
    </row>
    <row r="83">
      <c r="A83" s="16" t="inlineStr">
        <is>
          <t>Keuangan</t>
        </is>
      </c>
      <c r="B83" s="17" t="inlineStr">
        <is>
          <t>TC-FN-17</t>
        </is>
      </c>
      <c r="C83" s="20" t="inlineStr">
        <is>
          <t>P2</t>
        </is>
      </c>
      <c r="D83" s="16" t="inlineStr">
        <is>
          <t>Hapus sebuah pengeluaran yang sudah terjurnal</t>
        </is>
      </c>
      <c r="E83" s="16" t="inlineStr">
        <is>
          <t>Jurnalnya tidak dihapus; muncul baris balikan</t>
        </is>
      </c>
      <c r="F83" s="16" t="inlineStr">
        <is>
          <t>TSD §6.5</t>
        </is>
      </c>
      <c r="G83" s="16" t="inlineStr"/>
      <c r="H83" s="16" t="inlineStr"/>
      <c r="I83" s="16" t="inlineStr"/>
    </row>
    <row r="84">
      <c r="A84" s="13" t="inlineStr">
        <is>
          <t>Setor Saldo Cash</t>
        </is>
      </c>
      <c r="B84" s="14" t="inlineStr">
        <is>
          <t>TC-SD-01</t>
        </is>
      </c>
      <c r="C84" s="15" t="inlineStr">
        <is>
          <t>P1</t>
        </is>
      </c>
      <c r="D84" s="13" t="inlineStr">
        <is>
          <t>Ajukan setoran berikut nominal, catatan, dan foto bukti</t>
        </is>
      </c>
      <c r="E84" s="13" t="inlineStr">
        <is>
          <t>Tersimpan berstatus Pending; tunai di laci berkurang</t>
        </is>
      </c>
      <c r="F84" s="13" t="inlineStr">
        <is>
          <t>F-SD-01</t>
        </is>
      </c>
      <c r="G84" s="13" t="inlineStr"/>
      <c r="H84" s="13" t="inlineStr"/>
      <c r="I84" s="13" t="inlineStr"/>
    </row>
    <row r="85">
      <c r="A85" s="16" t="inlineStr">
        <is>
          <t>Setor Saldo Cash</t>
        </is>
      </c>
      <c r="B85" s="17" t="inlineStr">
        <is>
          <t>TC-SD-02</t>
        </is>
      </c>
      <c r="C85" s="20" t="inlineStr">
        <is>
          <t>P2</t>
        </is>
      </c>
      <c r="D85" s="16" t="inlineStr">
        <is>
          <t>Periksa kolom rekening di formulir setoran</t>
        </is>
      </c>
      <c r="E85" s="16" t="inlineStr">
        <is>
          <t>Terisi dari Info Pembayaran dan tidak bisa diketik</t>
        </is>
      </c>
      <c r="F85" s="16" t="inlineStr">
        <is>
          <t>F-SD-02</t>
        </is>
      </c>
      <c r="G85" s="16" t="inlineStr"/>
      <c r="H85" s="16" t="inlineStr"/>
      <c r="I85" s="16" t="inlineStr"/>
    </row>
    <row r="86">
      <c r="A86" s="13" t="inlineStr">
        <is>
          <t>Setor Saldo Cash</t>
        </is>
      </c>
      <c r="B86" s="14" t="inlineStr">
        <is>
          <t>TC-SD-03</t>
        </is>
      </c>
      <c r="C86" s="15" t="inlineStr">
        <is>
          <t>P1</t>
        </is>
      </c>
      <c r="D86" s="13" t="inlineStr">
        <is>
          <t>Kosongkan rekening resto di Info Pembayaran, buka formulir setoran</t>
        </is>
      </c>
      <c r="E86" s="13" t="inlineStr">
        <is>
          <t>Tombol simpan mati berikut alasannya</t>
        </is>
      </c>
      <c r="F86" s="13" t="inlineStr">
        <is>
          <t>F-SD-03</t>
        </is>
      </c>
      <c r="G86" s="13" t="inlineStr"/>
      <c r="H86" s="13" t="inlineStr"/>
      <c r="I86" s="13" t="inlineStr"/>
    </row>
    <row r="87">
      <c r="A87" s="16" t="inlineStr">
        <is>
          <t>Setor Saldo Cash</t>
        </is>
      </c>
      <c r="B87" s="17" t="inlineStr">
        <is>
          <t>TC-SD-04</t>
        </is>
      </c>
      <c r="C87" s="20" t="inlineStr">
        <is>
          <t>P2</t>
        </is>
      </c>
      <c r="D87" s="16" t="inlineStr">
        <is>
          <t>Tekan simpan</t>
        </is>
      </c>
      <c r="E87" s="16" t="inlineStr">
        <is>
          <t>Popup mengingatkan mencocokkan nominal dengan yang benar-benar ditransfer</t>
        </is>
      </c>
      <c r="F87" s="16" t="inlineStr">
        <is>
          <t>F-SD-04</t>
        </is>
      </c>
      <c r="G87" s="16" t="inlineStr"/>
      <c r="H87" s="16" t="inlineStr"/>
      <c r="I87" s="16" t="inlineStr"/>
    </row>
    <row r="88">
      <c r="A88" s="13" t="inlineStr">
        <is>
          <t>Setor Saldo Cash</t>
        </is>
      </c>
      <c r="B88" s="14" t="inlineStr">
        <is>
          <t>TC-SD-05</t>
        </is>
      </c>
      <c r="C88" s="15" t="inlineStr">
        <is>
          <t>P1</t>
        </is>
      </c>
      <c r="D88" s="13" t="inlineStr">
        <is>
          <t>Finance mengonfirmasi setoran</t>
        </is>
      </c>
      <c r="E88" s="13" t="inlineStr">
        <is>
          <t>Status jadi Completed; dana pindah dari suspense ke GL Total Saldo</t>
        </is>
      </c>
      <c r="F88" s="13" t="inlineStr">
        <is>
          <t>F-SD-05, TSD §6.4</t>
        </is>
      </c>
      <c r="G88" s="13" t="inlineStr"/>
      <c r="H88" s="13" t="inlineStr"/>
      <c r="I88" s="13" t="inlineStr"/>
    </row>
    <row r="89">
      <c r="A89" s="16" t="inlineStr">
        <is>
          <t>Setor Saldo Cash</t>
        </is>
      </c>
      <c r="B89" s="17" t="inlineStr">
        <is>
          <t>TC-SD-06</t>
        </is>
      </c>
      <c r="C89" s="18" t="inlineStr">
        <is>
          <t>P1</t>
        </is>
      </c>
      <c r="D89" s="16" t="inlineStr">
        <is>
          <t>Finance menolak setoran</t>
        </is>
      </c>
      <c r="E89" s="16" t="inlineStr">
        <is>
          <t>Dana kembali ke laci; tidak ada sisa di suspense</t>
        </is>
      </c>
      <c r="F89" s="16" t="inlineStr">
        <is>
          <t>F-SD-05, A-05</t>
        </is>
      </c>
      <c r="G89" s="16" t="inlineStr"/>
      <c r="H89" s="16" t="inlineStr"/>
      <c r="I89" s="16" t="inlineStr"/>
    </row>
    <row r="90">
      <c r="A90" s="13" t="inlineStr">
        <is>
          <t>Setor Saldo Cash</t>
        </is>
      </c>
      <c r="B90" s="14" t="inlineStr">
        <is>
          <t>TC-SD-07</t>
        </is>
      </c>
      <c r="C90" s="15" t="inlineStr">
        <is>
          <t>P1</t>
        </is>
      </c>
      <c r="D90" s="13" t="inlineStr">
        <is>
          <t>Kasir mencoba menyetujui setorannya sendiri</t>
        </is>
      </c>
      <c r="E90" s="13" t="inlineStr">
        <is>
          <t>Tidak ada tombol setuju untuk kasir</t>
        </is>
      </c>
      <c r="F90" s="13" t="inlineStr">
        <is>
          <t>A-06</t>
        </is>
      </c>
      <c r="G90" s="13" t="inlineStr"/>
      <c r="H90" s="13" t="inlineStr"/>
      <c r="I90" s="13" t="inlineStr"/>
    </row>
    <row r="91">
      <c r="A91" s="16" t="inlineStr">
        <is>
          <t>Setor Saldo Cash</t>
        </is>
      </c>
      <c r="B91" s="17" t="inlineStr">
        <is>
          <t>TC-SD-08</t>
        </is>
      </c>
      <c r="C91" s="20" t="inlineStr">
        <is>
          <t>P2</t>
        </is>
      </c>
      <c r="D91" s="16" t="inlineStr">
        <is>
          <t>Periksa penanda merah di kartu Setor Saldo Cash</t>
        </is>
      </c>
      <c r="E91" s="16" t="inlineStr">
        <is>
          <t>Angkanya sama dengan jumlah pengajuan menunggu</t>
        </is>
      </c>
      <c r="F91" s="16" t="inlineStr">
        <is>
          <t>F-SD-07</t>
        </is>
      </c>
      <c r="G91" s="16" t="inlineStr"/>
      <c r="H91" s="16" t="inlineStr"/>
      <c r="I91" s="16" t="inlineStr"/>
    </row>
    <row r="92">
      <c r="A92" s="13" t="inlineStr">
        <is>
          <t>Setor Saldo Cash</t>
        </is>
      </c>
      <c r="B92" s="14" t="inlineStr">
        <is>
          <t>TC-SD-09</t>
        </is>
      </c>
      <c r="C92" s="19" t="inlineStr">
        <is>
          <t>P2</t>
        </is>
      </c>
      <c r="D92" s="13" t="inlineStr">
        <is>
          <t>Buka foto bukti dari riwayat</t>
        </is>
      </c>
      <c r="E92" s="13" t="inlineStr">
        <is>
          <t>Tampil besar dan terbaca</t>
        </is>
      </c>
      <c r="F92" s="13" t="inlineStr">
        <is>
          <t>F-SD-06</t>
        </is>
      </c>
      <c r="G92" s="13" t="inlineStr"/>
      <c r="H92" s="13" t="inlineStr"/>
      <c r="I92" s="13" t="inlineStr"/>
    </row>
    <row r="93">
      <c r="A93" s="16" t="inlineStr">
        <is>
          <t>Katalog &amp; Pengaturan</t>
        </is>
      </c>
      <c r="B93" s="17" t="inlineStr">
        <is>
          <t>TC-AD-01</t>
        </is>
      </c>
      <c r="C93" s="20" t="inlineStr">
        <is>
          <t>P2</t>
        </is>
      </c>
      <c r="D93" s="16" t="inlineStr">
        <is>
          <t>Tambah produk lengkap dengan foto, deskripsi, harga, stok</t>
        </is>
      </c>
      <c r="E93" s="16" t="inlineStr">
        <is>
          <t>Tersimpan dan langsung tampil di layar pelanggan</t>
        </is>
      </c>
      <c r="F93" s="16" t="inlineStr">
        <is>
          <t>F-AD-01</t>
        </is>
      </c>
      <c r="G93" s="16" t="inlineStr"/>
      <c r="H93" s="16" t="inlineStr"/>
      <c r="I93" s="16" t="inlineStr"/>
    </row>
    <row r="94">
      <c r="A94" s="13" t="inlineStr">
        <is>
          <t>Katalog &amp; Pengaturan</t>
        </is>
      </c>
      <c r="B94" s="14" t="inlineStr">
        <is>
          <t>TC-AD-02</t>
        </is>
      </c>
      <c r="C94" s="15" t="inlineStr">
        <is>
          <t>P1</t>
        </is>
      </c>
      <c r="D94" s="13" t="inlineStr">
        <is>
          <t>Isi harga bersih Rp 25.000 pada produk kena PPN</t>
        </is>
      </c>
      <c r="E94" s="13" t="inlineStr">
        <is>
          <t>Harga jual yang ditampilkan sudah termasuk PPN, dihitung otomatis</t>
        </is>
      </c>
      <c r="F94" s="13" t="inlineStr">
        <is>
          <t>F-AD-02</t>
        </is>
      </c>
      <c r="G94" s="13" t="inlineStr"/>
      <c r="H94" s="13" t="inlineStr"/>
      <c r="I94" s="13" t="inlineStr"/>
    </row>
    <row r="95">
      <c r="A95" s="16" t="inlineStr">
        <is>
          <t>Katalog &amp; Pengaturan</t>
        </is>
      </c>
      <c r="B95" s="17" t="inlineStr">
        <is>
          <t>TC-AD-03</t>
        </is>
      </c>
      <c r="C95" s="18" t="inlineStr">
        <is>
          <t>P1</t>
        </is>
      </c>
      <c r="D95" s="16" t="inlineStr">
        <is>
          <t>Tandai sebuah produk bebas PPN, lalu pesan</t>
        </is>
      </c>
      <c r="E95" s="16" t="inlineStr">
        <is>
          <t>PPN tidak dipungut untuk menu itu</t>
        </is>
      </c>
      <c r="F95" s="16" t="inlineStr">
        <is>
          <t>F-AD-03</t>
        </is>
      </c>
      <c r="G95" s="16" t="inlineStr"/>
      <c r="H95" s="16" t="inlineStr"/>
      <c r="I95" s="16" t="inlineStr"/>
    </row>
    <row r="96">
      <c r="A96" s="13" t="inlineStr">
        <is>
          <t>Katalog &amp; Pengaturan</t>
        </is>
      </c>
      <c r="B96" s="14" t="inlineStr">
        <is>
          <t>TC-AD-04</t>
        </is>
      </c>
      <c r="C96" s="19" t="inlineStr">
        <is>
          <t>P2</t>
        </is>
      </c>
      <c r="D96" s="13" t="inlineStr">
        <is>
          <t>Simpan produk tanpa mengisi stok</t>
        </is>
      </c>
      <c r="E96" s="13" t="inlineStr">
        <is>
          <t>Diterima; ketersediaannya ditentukan penanda Out of Stock</t>
        </is>
      </c>
      <c r="F96" s="13" t="inlineStr">
        <is>
          <t>F-AD-12</t>
        </is>
      </c>
      <c r="G96" s="13" t="inlineStr"/>
      <c r="H96" s="13" t="inlineStr"/>
      <c r="I96" s="13" t="inlineStr"/>
    </row>
    <row r="97">
      <c r="A97" s="16" t="inlineStr">
        <is>
          <t>Katalog &amp; Pengaturan</t>
        </is>
      </c>
      <c r="B97" s="17" t="inlineStr">
        <is>
          <t>TC-AD-05</t>
        </is>
      </c>
      <c r="C97" s="20" t="inlineStr">
        <is>
          <t>P2</t>
        </is>
      </c>
      <c r="D97" s="16" t="inlineStr">
        <is>
          <t>Geser saklar habis dari daftar produk</t>
        </is>
      </c>
      <c r="E97" s="16" t="inlineStr">
        <is>
          <t>Berubah tanpa membuka formulirnya</t>
        </is>
      </c>
      <c r="F97" s="16" t="inlineStr">
        <is>
          <t>F-AD-13</t>
        </is>
      </c>
      <c r="G97" s="16" t="inlineStr"/>
      <c r="H97" s="16" t="inlineStr"/>
      <c r="I97" s="16" t="inlineStr"/>
    </row>
    <row r="98">
      <c r="A98" s="13" t="inlineStr">
        <is>
          <t>Katalog &amp; Pengaturan</t>
        </is>
      </c>
      <c r="B98" s="14" t="inlineStr">
        <is>
          <t>TC-AD-06</t>
        </is>
      </c>
      <c r="C98" s="15" t="inlineStr">
        <is>
          <t>P1</t>
        </is>
      </c>
      <c r="D98" s="13" t="inlineStr">
        <is>
          <t>Buka layar pelanggan</t>
        </is>
      </c>
      <c r="E98" s="13" t="inlineStr">
        <is>
          <t>Angka stok tidak terlihat di mana pun</t>
        </is>
      </c>
      <c r="F98" s="13" t="inlineStr">
        <is>
          <t>F-AD-14</t>
        </is>
      </c>
      <c r="G98" s="13" t="inlineStr"/>
      <c r="H98" s="13" t="inlineStr"/>
      <c r="I98" s="13" t="inlineStr"/>
    </row>
    <row r="99">
      <c r="A99" s="16" t="inlineStr">
        <is>
          <t>Katalog &amp; Pengaturan</t>
        </is>
      </c>
      <c r="B99" s="17" t="inlineStr">
        <is>
          <t>TC-AD-07</t>
        </is>
      </c>
      <c r="C99" s="20" t="inlineStr">
        <is>
          <t>P2</t>
        </is>
      </c>
      <c r="D99" s="16" t="inlineStr">
        <is>
          <t>Tambah kategori, lalu pindahkan produk ke sana</t>
        </is>
      </c>
      <c r="E99" s="16" t="inlineStr">
        <is>
          <t>Kategori baru muncul di layar pelanggan berikut isinya</t>
        </is>
      </c>
      <c r="F99" s="16" t="inlineStr">
        <is>
          <t>F-AD-04</t>
        </is>
      </c>
      <c r="G99" s="16" t="inlineStr"/>
      <c r="H99" s="16" t="inlineStr"/>
      <c r="I99" s="16" t="inlineStr"/>
    </row>
    <row r="100">
      <c r="A100" s="13" t="inlineStr">
        <is>
          <t>Katalog &amp; Pengaturan</t>
        </is>
      </c>
      <c r="B100" s="14" t="inlineStr">
        <is>
          <t>TC-AD-08</t>
        </is>
      </c>
      <c r="C100" s="19" t="inlineStr">
        <is>
          <t>P2</t>
        </is>
      </c>
      <c r="D100" s="13" t="inlineStr">
        <is>
          <t>Buka tab Level pada resto baru</t>
        </is>
      </c>
      <c r="E100" s="13" t="inlineStr">
        <is>
          <t>Lima kelompok bawaan sudah terisi</t>
        </is>
      </c>
      <c r="F100" s="13" t="inlineStr">
        <is>
          <t>F-AD-10</t>
        </is>
      </c>
      <c r="G100" s="13" t="inlineStr"/>
      <c r="H100" s="13" t="inlineStr"/>
      <c r="I100" s="13" t="inlineStr"/>
    </row>
    <row r="101">
      <c r="A101" s="16" t="inlineStr">
        <is>
          <t>Katalog &amp; Pengaturan</t>
        </is>
      </c>
      <c r="B101" s="17" t="inlineStr">
        <is>
          <t>TC-AD-09</t>
        </is>
      </c>
      <c r="C101" s="20" t="inlineStr">
        <is>
          <t>P2</t>
        </is>
      </c>
      <c r="D101" s="16" t="inlineStr">
        <is>
          <t>Buat kelompok level dengan satu pilihan</t>
        </is>
      </c>
      <c r="E101" s="16" t="inlineStr">
        <is>
          <t>Ditolak — minimal dua pilihan</t>
        </is>
      </c>
      <c r="F101" s="16" t="inlineStr">
        <is>
          <t>F-AD-11</t>
        </is>
      </c>
      <c r="G101" s="16" t="inlineStr"/>
      <c r="H101" s="16" t="inlineStr"/>
      <c r="I101" s="16" t="inlineStr"/>
    </row>
    <row r="102">
      <c r="A102" s="13" t="inlineStr">
        <is>
          <t>Katalog &amp; Pengaturan</t>
        </is>
      </c>
      <c r="B102" s="14" t="inlineStr">
        <is>
          <t>TC-AD-10</t>
        </is>
      </c>
      <c r="C102" s="19" t="inlineStr">
        <is>
          <t>P2</t>
        </is>
      </c>
      <c r="D102" s="13" t="inlineStr">
        <is>
          <t>Buat kelompok level bernama sama dengan yang sudah ada</t>
        </is>
      </c>
      <c r="E102" s="13" t="inlineStr">
        <is>
          <t>Ditolak</t>
        </is>
      </c>
      <c r="F102" s="13" t="inlineStr">
        <is>
          <t>F-AD-11</t>
        </is>
      </c>
      <c r="G102" s="13" t="inlineStr"/>
      <c r="H102" s="13" t="inlineStr"/>
      <c r="I102" s="13" t="inlineStr"/>
    </row>
    <row r="103">
      <c r="A103" s="16" t="inlineStr">
        <is>
          <t>Katalog &amp; Pengaturan</t>
        </is>
      </c>
      <c r="B103" s="17" t="inlineStr">
        <is>
          <t>TC-AD-11</t>
        </is>
      </c>
      <c r="C103" s="18" t="inlineStr">
        <is>
          <t>P1</t>
        </is>
      </c>
      <c r="D103" s="16" t="inlineStr">
        <is>
          <t>Ubah email seorang karyawan</t>
        </is>
      </c>
      <c r="E103" s="16" t="inlineStr">
        <is>
          <t>Riwayat transaksinya tetap utuh atas namanya</t>
        </is>
      </c>
      <c r="F103" s="16" t="inlineStr">
        <is>
          <t>F-AD-05</t>
        </is>
      </c>
      <c r="G103" s="16" t="inlineStr"/>
      <c r="H103" s="16" t="inlineStr"/>
      <c r="I103" s="16" t="inlineStr"/>
    </row>
    <row r="104">
      <c r="A104" s="13" t="inlineStr">
        <is>
          <t>Katalog &amp; Pengaturan</t>
        </is>
      </c>
      <c r="B104" s="14" t="inlineStr">
        <is>
          <t>TC-AD-12</t>
        </is>
      </c>
      <c r="C104" s="19" t="inlineStr">
        <is>
          <t>P2</t>
        </is>
      </c>
      <c r="D104" s="13" t="inlineStr">
        <is>
          <t>Info Resto → ambil titik lokasi sekali tekan</t>
        </is>
      </c>
      <c r="E104" s="13" t="inlineStr">
        <is>
          <t>Pin berpindah ke posisi sekarang; pratinjau peta ikut bergeser</t>
        </is>
      </c>
      <c r="F104" s="13" t="inlineStr">
        <is>
          <t>F-AD-06, F-AD-15</t>
        </is>
      </c>
      <c r="G104" s="13" t="inlineStr"/>
      <c r="H104" s="13" t="inlineStr"/>
      <c r="I104" s="13" t="inlineStr"/>
    </row>
    <row r="105">
      <c r="A105" s="16" t="inlineStr">
        <is>
          <t>Katalog &amp; Pengaturan</t>
        </is>
      </c>
      <c r="B105" s="17" t="inlineStr">
        <is>
          <t>TC-AD-13</t>
        </is>
      </c>
      <c r="C105" s="20" t="inlineStr">
        <is>
          <t>P2</t>
        </is>
      </c>
      <c r="D105" s="16" t="inlineStr">
        <is>
          <t>Geser pin di pratinjau peta, simpan, buka lagi</t>
        </is>
      </c>
      <c r="E105" s="16" t="inlineStr">
        <is>
          <t>Titik yang tersimpan sama dengan yang terakhir digeser</t>
        </is>
      </c>
      <c r="F105" s="16" t="inlineStr">
        <is>
          <t>F-AD-15</t>
        </is>
      </c>
      <c r="G105" s="16" t="inlineStr"/>
      <c r="H105" s="16" t="inlineStr"/>
      <c r="I105" s="16" t="inlineStr"/>
    </row>
    <row r="106">
      <c r="A106" s="13" t="inlineStr">
        <is>
          <t>Katalog &amp; Pengaturan</t>
        </is>
      </c>
      <c r="B106" s="14" t="inlineStr">
        <is>
          <t>TC-AD-14</t>
        </is>
      </c>
      <c r="C106" s="15" t="inlineStr">
        <is>
          <t>P1</t>
        </is>
      </c>
      <c r="D106" s="13" t="inlineStr">
        <is>
          <t>Matikan kedua cara makan</t>
        </is>
      </c>
      <c r="E106" s="13" t="inlineStr">
        <is>
          <t>Ditolak — minimal satu harus menyala</t>
        </is>
      </c>
      <c r="F106" s="13" t="inlineStr">
        <is>
          <t>F-AD-16</t>
        </is>
      </c>
      <c r="G106" s="13" t="inlineStr"/>
      <c r="H106" s="13" t="inlineStr"/>
      <c r="I106" s="13" t="inlineStr"/>
    </row>
    <row r="107">
      <c r="A107" s="16" t="inlineStr">
        <is>
          <t>Katalog &amp; Pengaturan</t>
        </is>
      </c>
      <c r="B107" s="17" t="inlineStr">
        <is>
          <t>TC-AD-15</t>
        </is>
      </c>
      <c r="C107" s="20" t="inlineStr">
        <is>
          <t>P2</t>
        </is>
      </c>
      <c r="D107" s="16" t="inlineStr">
        <is>
          <t>Unggah banner, atur urutan, nonaktifkan satu</t>
        </is>
      </c>
      <c r="E107" s="16" t="inlineStr">
        <is>
          <t>Urutan di layar pelanggan mengikuti; yang nonaktif tidak tampil</t>
        </is>
      </c>
      <c r="F107" s="16" t="inlineStr">
        <is>
          <t>F-AD-07</t>
        </is>
      </c>
      <c r="G107" s="16" t="inlineStr"/>
      <c r="H107" s="16" t="inlineStr"/>
      <c r="I107" s="16" t="inlineStr"/>
    </row>
    <row r="108">
      <c r="A108" s="13" t="inlineStr">
        <is>
          <t>Katalog &amp; Pengaturan</t>
        </is>
      </c>
      <c r="B108" s="14" t="inlineStr">
        <is>
          <t>TC-AD-16</t>
        </is>
      </c>
      <c r="C108" s="19" t="inlineStr">
        <is>
          <t>P2</t>
        </is>
      </c>
      <c r="D108" s="13" t="inlineStr">
        <is>
          <t>Isi tanggal mulai banner kemarin</t>
        </is>
      </c>
      <c r="E108" s="13" t="inlineStr">
        <is>
          <t>Tanggal itu tidak bisa dipilih di kalendernya</t>
        </is>
      </c>
      <c r="F108" s="13" t="inlineStr">
        <is>
          <t>F-AD-17</t>
        </is>
      </c>
      <c r="G108" s="13" t="inlineStr"/>
      <c r="H108" s="13" t="inlineStr"/>
      <c r="I108" s="13" t="inlineStr"/>
    </row>
    <row r="109">
      <c r="A109" s="16" t="inlineStr">
        <is>
          <t>Katalog &amp; Pengaturan</t>
        </is>
      </c>
      <c r="B109" s="17" t="inlineStr">
        <is>
          <t>TC-AD-17</t>
        </is>
      </c>
      <c r="C109" s="20" t="inlineStr">
        <is>
          <t>P2</t>
        </is>
      </c>
      <c r="D109" s="16" t="inlineStr">
        <is>
          <t>Owner dengan dua resto → berpindah resto</t>
        </is>
      </c>
      <c r="E109" s="16" t="inlineStr">
        <is>
          <t>Data ikut berganti seluruhnya; tidak ada sisa data resto sebelumnya</t>
        </is>
      </c>
      <c r="F109" s="16" t="inlineStr">
        <is>
          <t>F-AD-08, A-10</t>
        </is>
      </c>
      <c r="G109" s="16" t="inlineStr"/>
      <c r="H109" s="16" t="inlineStr"/>
      <c r="I109" s="16" t="inlineStr"/>
    </row>
    <row r="110">
      <c r="A110" s="13" t="inlineStr">
        <is>
          <t>Katalog &amp; Pengaturan</t>
        </is>
      </c>
      <c r="B110" s="14" t="inlineStr">
        <is>
          <t>TC-AD-18</t>
        </is>
      </c>
      <c r="C110" s="19" t="inlineStr">
        <is>
          <t>P2</t>
        </is>
      </c>
      <c r="D110" s="13" t="inlineStr">
        <is>
          <t>Admin membuka Info Pembayaran</t>
        </is>
      </c>
      <c r="E110" s="13" t="inlineStr">
        <is>
          <t>Hanya bisa dilihat</t>
        </is>
      </c>
      <c r="F110" s="13" t="inlineStr">
        <is>
          <t>F-SD-02</t>
        </is>
      </c>
      <c r="G110" s="13" t="inlineStr"/>
      <c r="H110" s="13" t="inlineStr"/>
      <c r="I110" s="13" t="inlineStr"/>
    </row>
    <row r="111">
      <c r="A111" s="16" t="inlineStr">
        <is>
          <t>Katalog &amp; Pengaturan</t>
        </is>
      </c>
      <c r="B111" s="17" t="inlineStr">
        <is>
          <t>TC-AD-19</t>
        </is>
      </c>
      <c r="C111" s="20" t="inlineStr">
        <is>
          <t>P2</t>
        </is>
      </c>
      <c r="D111" s="16" t="inlineStr">
        <is>
          <t>Owner membuka Info Pembayaran</t>
        </is>
      </c>
      <c r="E111" s="16" t="inlineStr">
        <is>
          <t>Bisa diubah</t>
        </is>
      </c>
      <c r="F111" s="16" t="inlineStr">
        <is>
          <t>F-SD-02</t>
        </is>
      </c>
      <c r="G111" s="16" t="inlineStr"/>
      <c r="H111" s="16" t="inlineStr"/>
      <c r="I111" s="16" t="inlineStr"/>
    </row>
    <row r="112">
      <c r="A112" s="13" t="inlineStr">
        <is>
          <t>QR Meja</t>
        </is>
      </c>
      <c r="B112" s="14" t="inlineStr">
        <is>
          <t>TC-QR-01</t>
        </is>
      </c>
      <c r="C112" s="19" t="inlineStr">
        <is>
          <t>P2</t>
        </is>
      </c>
      <c r="D112" s="13" t="inlineStr">
        <is>
          <t>Buat QR satu meja bernomor VIP-2</t>
        </is>
      </c>
      <c r="E112" s="13" t="inlineStr">
        <is>
          <t>Kartunya memuat nama resto dan nomor persis seperti diketik</t>
        </is>
      </c>
      <c r="F112" s="13" t="inlineStr">
        <is>
          <t>F-QR-01, F-QR-04</t>
        </is>
      </c>
      <c r="G112" s="13" t="inlineStr"/>
      <c r="H112" s="13" t="inlineStr"/>
      <c r="I112" s="13" t="inlineStr"/>
    </row>
    <row r="113">
      <c r="A113" s="16" t="inlineStr">
        <is>
          <t>QR Meja</t>
        </is>
      </c>
      <c r="B113" s="17" t="inlineStr">
        <is>
          <t>TC-QR-02</t>
        </is>
      </c>
      <c r="C113" s="20" t="inlineStr">
        <is>
          <t>P2</t>
        </is>
      </c>
      <c r="D113" s="16" t="inlineStr">
        <is>
          <t>Pindai QR hasilnya dengan HP pelanggan</t>
        </is>
      </c>
      <c r="E113" s="16" t="inlineStr">
        <is>
          <t>Membuka resto itu dengan nomor meja terisi</t>
        </is>
      </c>
      <c r="F113" s="16" t="inlineStr">
        <is>
          <t>F-QR-01, F-SS-01</t>
        </is>
      </c>
      <c r="G113" s="16" t="inlineStr"/>
      <c r="H113" s="16" t="inlineStr"/>
      <c r="I113" s="16" t="inlineStr"/>
    </row>
    <row r="114">
      <c r="A114" s="13" t="inlineStr">
        <is>
          <t>QR Meja</t>
        </is>
      </c>
      <c r="B114" s="14" t="inlineStr">
        <is>
          <t>TC-QR-03</t>
        </is>
      </c>
      <c r="C114" s="19" t="inlineStr">
        <is>
          <t>P2</t>
        </is>
      </c>
      <c r="D114" s="13" t="inlineStr">
        <is>
          <t>Mode banyak meja: isi 10</t>
        </is>
      </c>
      <c r="E114" s="13" t="inlineStr">
        <is>
          <t>Terbentuk 10 QR bernomor 1–10</t>
        </is>
      </c>
      <c r="F114" s="13" t="inlineStr">
        <is>
          <t>F-QR-02</t>
        </is>
      </c>
      <c r="G114" s="13" t="inlineStr"/>
      <c r="H114" s="13" t="inlineStr"/>
      <c r="I114" s="13" t="inlineStr"/>
    </row>
    <row r="115">
      <c r="A115" s="16" t="inlineStr">
        <is>
          <t>QR Meja</t>
        </is>
      </c>
      <c r="B115" s="17" t="inlineStr">
        <is>
          <t>TC-QR-04</t>
        </is>
      </c>
      <c r="C115" s="20" t="inlineStr">
        <is>
          <t>P2</t>
        </is>
      </c>
      <c r="D115" s="16" t="inlineStr">
        <is>
          <t>Isi awalan A, jumlah 3</t>
        </is>
      </c>
      <c r="E115" s="16" t="inlineStr">
        <is>
          <t>Menghasilkan A1, A2, A3</t>
        </is>
      </c>
      <c r="F115" s="16" t="inlineStr">
        <is>
          <t>F-QR-03</t>
        </is>
      </c>
      <c r="G115" s="16" t="inlineStr"/>
      <c r="H115" s="16" t="inlineStr"/>
      <c r="I115" s="16" t="inlineStr"/>
    </row>
    <row r="116">
      <c r="A116" s="13" t="inlineStr">
        <is>
          <t>QR Meja</t>
        </is>
      </c>
      <c r="B116" s="14" t="inlineStr">
        <is>
          <t>TC-QR-05</t>
        </is>
      </c>
      <c r="C116" s="19" t="inlineStr">
        <is>
          <t>P2</t>
        </is>
      </c>
      <c r="D116" s="13" t="inlineStr">
        <is>
          <t>Periksa nomor pada kartu ke-7</t>
        </is>
      </c>
      <c r="E116" s="13" t="inlineStr">
        <is>
          <t>Tertulis 7, bukan 07</t>
        </is>
      </c>
      <c r="F116" s="13" t="inlineStr">
        <is>
          <t>F-QR-07</t>
        </is>
      </c>
      <c r="G116" s="13" t="inlineStr"/>
      <c r="H116" s="13" t="inlineStr"/>
      <c r="I116" s="13" t="inlineStr"/>
    </row>
    <row r="117">
      <c r="A117" s="16" t="inlineStr">
        <is>
          <t>QR Meja</t>
        </is>
      </c>
      <c r="B117" s="17" t="inlineStr">
        <is>
          <t>TC-QR-06</t>
        </is>
      </c>
      <c r="C117" s="20" t="inlineStr">
        <is>
          <t>P2</t>
        </is>
      </c>
      <c r="D117" s="16" t="inlineStr">
        <is>
          <t>Isi jumlah meja 101</t>
        </is>
      </c>
      <c r="E117" s="16" t="inlineStr">
        <is>
          <t>Ditolak — batasnya 100</t>
        </is>
      </c>
      <c r="F117" s="16" t="inlineStr">
        <is>
          <t>F-QR-02</t>
        </is>
      </c>
      <c r="G117" s="16" t="inlineStr"/>
      <c r="H117" s="16" t="inlineStr"/>
      <c r="I117" s="16" t="inlineStr"/>
    </row>
    <row r="118">
      <c r="A118" s="13" t="inlineStr">
        <is>
          <t>QR Meja</t>
        </is>
      </c>
      <c r="B118" s="14" t="inlineStr">
        <is>
          <t>TC-QR-07</t>
        </is>
      </c>
      <c r="C118" s="19" t="inlineStr">
        <is>
          <t>P2</t>
        </is>
      </c>
      <c r="D118" s="13" t="inlineStr">
        <is>
          <t>Download Semua</t>
        </is>
      </c>
      <c r="E118" s="13" t="inlineStr">
        <is>
          <t>Penghitung kemajuan berjalan; seluruh berkas masuk galeri urut nomornya</t>
        </is>
      </c>
      <c r="F118" s="13" t="inlineStr">
        <is>
          <t>F-QR-05, F-QR-07</t>
        </is>
      </c>
      <c r="G118" s="13" t="inlineStr"/>
      <c r="H118" s="13" t="inlineStr"/>
      <c r="I118" s="13" t="inlineStr"/>
    </row>
    <row r="119">
      <c r="A119" s="16" t="inlineStr">
        <is>
          <t>QR Meja</t>
        </is>
      </c>
      <c r="B119" s="17" t="inlineStr">
        <is>
          <t>TC-QR-08</t>
        </is>
      </c>
      <c r="C119" s="22" t="inlineStr">
        <is>
          <t>P3</t>
        </is>
      </c>
      <c r="D119" s="16" t="inlineStr">
        <is>
          <t>Cetak seluruh QR</t>
        </is>
      </c>
      <c r="E119" s="16" t="inlineStr">
        <is>
          <t>Satu meja satu halaman</t>
        </is>
      </c>
      <c r="F119" s="16" t="inlineStr">
        <is>
          <t>F-QR-06</t>
        </is>
      </c>
      <c r="G119" s="16" t="inlineStr"/>
      <c r="H119" s="16" t="inlineStr"/>
      <c r="I119" s="16" t="inlineStr"/>
    </row>
    <row r="120">
      <c r="A120" s="13" t="inlineStr">
        <is>
          <t>Diskon</t>
        </is>
      </c>
      <c r="B120" s="14" t="inlineStr">
        <is>
          <t>TC-DS-01</t>
        </is>
      </c>
      <c r="C120" s="19" t="inlineStr">
        <is>
          <t>P2</t>
        </is>
      </c>
      <c r="D120" s="13" t="inlineStr">
        <is>
          <t>Buat diskon satu menu, 30%</t>
        </is>
      </c>
      <c r="E120" s="13" t="inlineStr">
        <is>
          <t>Berlaku untuk menu itu saja, bukan seluruh tagihan</t>
        </is>
      </c>
      <c r="F120" s="13" t="inlineStr">
        <is>
          <t>F-DS-01</t>
        </is>
      </c>
      <c r="G120" s="13" t="inlineStr"/>
      <c r="H120" s="13" t="inlineStr"/>
      <c r="I120" s="13" t="inlineStr"/>
    </row>
    <row r="121">
      <c r="A121" s="16" t="inlineStr">
        <is>
          <t>Diskon</t>
        </is>
      </c>
      <c r="B121" s="17" t="inlineStr">
        <is>
          <t>TC-DS-02</t>
        </is>
      </c>
      <c r="C121" s="18" t="inlineStr">
        <is>
          <t>P1</t>
        </is>
      </c>
      <c r="D121" s="16" t="inlineStr">
        <is>
          <t>Diskon menu dengan syarat Minimal 2, pesan 1</t>
        </is>
      </c>
      <c r="E121" s="16" t="inlineStr">
        <is>
          <t>Tidak dapat potongan</t>
        </is>
      </c>
      <c r="F121" s="16" t="inlineStr">
        <is>
          <t>F-DS-10, F-DS-11</t>
        </is>
      </c>
      <c r="G121" s="16" t="inlineStr"/>
      <c r="H121" s="16" t="inlineStr"/>
      <c r="I121" s="16" t="inlineStr"/>
    </row>
    <row r="122">
      <c r="A122" s="13" t="inlineStr">
        <is>
          <t>Diskon</t>
        </is>
      </c>
      <c r="B122" s="14" t="inlineStr">
        <is>
          <t>TC-DS-03</t>
        </is>
      </c>
      <c r="C122" s="15" t="inlineStr">
        <is>
          <t>P1</t>
        </is>
      </c>
      <c r="D122" s="13" t="inlineStr">
        <is>
          <t>Kasus yang sama, pesan 2</t>
        </is>
      </c>
      <c r="E122" s="13" t="inlineStr">
        <is>
          <t>Dapat potongan, dihitung dari kedua porsinya</t>
        </is>
      </c>
      <c r="F122" s="13" t="inlineStr">
        <is>
          <t>F-DS-11</t>
        </is>
      </c>
      <c r="G122" s="13" t="inlineStr"/>
      <c r="H122" s="13" t="inlineStr"/>
      <c r="I122" s="13" t="inlineStr"/>
    </row>
    <row r="123">
      <c r="A123" s="16" t="inlineStr">
        <is>
          <t>Diskon</t>
        </is>
      </c>
      <c r="B123" s="17" t="inlineStr">
        <is>
          <t>TC-DS-04</t>
        </is>
      </c>
      <c r="C123" s="18" t="inlineStr">
        <is>
          <t>P1</t>
        </is>
      </c>
      <c r="D123" s="16" t="inlineStr">
        <is>
          <t>Kasus yang sama, pesan 3</t>
        </is>
      </c>
      <c r="E123" s="16" t="inlineStr">
        <is>
          <t>Tetap dapat; potongan dihitung dari ketiganya</t>
        </is>
      </c>
      <c r="F123" s="16" t="inlineStr">
        <is>
          <t>F-DS-11</t>
        </is>
      </c>
      <c r="G123" s="16" t="inlineStr"/>
      <c r="H123" s="16" t="inlineStr"/>
      <c r="I123" s="16" t="inlineStr"/>
    </row>
    <row r="124">
      <c r="A124" s="13" t="inlineStr">
        <is>
          <t>Diskon</t>
        </is>
      </c>
      <c r="B124" s="14" t="inlineStr">
        <is>
          <t>TC-DS-05</t>
        </is>
      </c>
      <c r="C124" s="15" t="inlineStr">
        <is>
          <t>P1</t>
        </is>
      </c>
      <c r="D124" s="13" t="inlineStr">
        <is>
          <t>Syarat Tepat 2, pesan 3</t>
        </is>
      </c>
      <c r="E124" s="13" t="inlineStr">
        <is>
          <t>Tidak dapat potongan</t>
        </is>
      </c>
      <c r="F124" s="13" t="inlineStr">
        <is>
          <t>F-DS-11</t>
        </is>
      </c>
      <c r="G124" s="13" t="inlineStr"/>
      <c r="H124" s="13" t="inlineStr"/>
      <c r="I124" s="13" t="inlineStr"/>
    </row>
    <row r="125">
      <c r="A125" s="16" t="inlineStr">
        <is>
          <t>Diskon</t>
        </is>
      </c>
      <c r="B125" s="17" t="inlineStr">
        <is>
          <t>TC-DS-06</t>
        </is>
      </c>
      <c r="C125" s="18" t="inlineStr">
        <is>
          <t>P1</t>
        </is>
      </c>
      <c r="D125" s="16" t="inlineStr">
        <is>
          <t>Bundling Nasi Goreng (min 2) + Es Teh (min 1) → pesan 2 Nasi Goreng saja</t>
        </is>
      </c>
      <c r="E125" s="16" t="inlineStr">
        <is>
          <t>Tidak dapat potongan sama sekali</t>
        </is>
      </c>
      <c r="F125" s="16" t="inlineStr">
        <is>
          <t>F-DS-12</t>
        </is>
      </c>
      <c r="G125" s="16" t="inlineStr"/>
      <c r="H125" s="16" t="inlineStr"/>
      <c r="I125" s="16" t="inlineStr"/>
    </row>
    <row r="126">
      <c r="A126" s="13" t="inlineStr">
        <is>
          <t>Diskon</t>
        </is>
      </c>
      <c r="B126" s="14" t="inlineStr">
        <is>
          <t>TC-DS-07</t>
        </is>
      </c>
      <c r="C126" s="15" t="inlineStr">
        <is>
          <t>P1</t>
        </is>
      </c>
      <c r="D126" s="13" t="inlineStr">
        <is>
          <t>Kasus yang sama → pesan 2 Nasi Goreng + 1 Kopi (di luar promo)</t>
        </is>
      </c>
      <c r="E126" s="13" t="inlineStr">
        <is>
          <t>Tetap tidak dapat — menu lain tidak menggantikan yang kurang</t>
        </is>
      </c>
      <c r="F126" s="13" t="inlineStr">
        <is>
          <t>F-DS-12</t>
        </is>
      </c>
      <c r="G126" s="13" t="inlineStr"/>
      <c r="H126" s="13" t="inlineStr"/>
      <c r="I126" s="13" t="inlineStr"/>
    </row>
    <row r="127">
      <c r="A127" s="16" t="inlineStr">
        <is>
          <t>Diskon</t>
        </is>
      </c>
      <c r="B127" s="17" t="inlineStr">
        <is>
          <t>TC-DS-08</t>
        </is>
      </c>
      <c r="C127" s="18" t="inlineStr">
        <is>
          <t>P1</t>
        </is>
      </c>
      <c r="D127" s="16" t="inlineStr">
        <is>
          <t>Kasus yang sama → pesan 2 Nasi Goreng + 1 Es Teh</t>
        </is>
      </c>
      <c r="E127" s="16" t="inlineStr">
        <is>
          <t>Dapat potongan, dihitung dari kedua menu itu saja</t>
        </is>
      </c>
      <c r="F127" s="16" t="inlineStr">
        <is>
          <t>F-DS-12</t>
        </is>
      </c>
      <c r="G127" s="16" t="inlineStr"/>
      <c r="H127" s="16" t="inlineStr"/>
      <c r="I127" s="16" t="inlineStr"/>
    </row>
    <row r="128">
      <c r="A128" s="13" t="inlineStr">
        <is>
          <t>Diskon</t>
        </is>
      </c>
      <c r="B128" s="14" t="inlineStr">
        <is>
          <t>TC-DS-09</t>
        </is>
      </c>
      <c r="C128" s="15" t="inlineStr">
        <is>
          <t>P1</t>
        </is>
      </c>
      <c r="D128" s="13" t="inlineStr">
        <is>
          <t>Tambahkan menu di luar promo ke keranjang yang sudah memenuhi</t>
        </is>
      </c>
      <c r="E128" s="13" t="inlineStr">
        <is>
          <t>Potongannya tidak ikut membesar</t>
        </is>
      </c>
      <c r="F128" s="13" t="inlineStr">
        <is>
          <t>F-DS-12</t>
        </is>
      </c>
      <c r="G128" s="13" t="inlineStr"/>
      <c r="H128" s="13" t="inlineStr"/>
      <c r="I128" s="13" t="inlineStr"/>
    </row>
    <row r="129">
      <c r="A129" s="16" t="inlineStr">
        <is>
          <t>Diskon</t>
        </is>
      </c>
      <c r="B129" s="17" t="inlineStr">
        <is>
          <t>TC-DS-10</t>
        </is>
      </c>
      <c r="C129" s="18" t="inlineStr">
        <is>
          <t>P1</t>
        </is>
      </c>
      <c r="D129" s="16" t="inlineStr">
        <is>
          <t>Diskon minimum belanja ≥ Rp 200.000, tagihan pas Rp 200.000</t>
        </is>
      </c>
      <c r="E129" s="16" t="inlineStr">
        <is>
          <t>Dapat potongan</t>
        </is>
      </c>
      <c r="F129" s="16" t="inlineStr">
        <is>
          <t>F-DS-02</t>
        </is>
      </c>
      <c r="G129" s="16" t="inlineStr"/>
      <c r="H129" s="16" t="inlineStr"/>
      <c r="I129" s="16" t="inlineStr"/>
    </row>
    <row r="130">
      <c r="A130" s="13" t="inlineStr">
        <is>
          <t>Diskon</t>
        </is>
      </c>
      <c r="B130" s="14" t="inlineStr">
        <is>
          <t>TC-DS-11</t>
        </is>
      </c>
      <c r="C130" s="15" t="inlineStr">
        <is>
          <t>P1</t>
        </is>
      </c>
      <c r="D130" s="13" t="inlineStr">
        <is>
          <t>Ubah indikatornya jadi &gt;, tagihan pas Rp 200.000</t>
        </is>
      </c>
      <c r="E130" s="13" t="inlineStr">
        <is>
          <t>Tidak dapat potongan</t>
        </is>
      </c>
      <c r="F130" s="13" t="inlineStr">
        <is>
          <t>F-DS-02</t>
        </is>
      </c>
      <c r="G130" s="13" t="inlineStr"/>
      <c r="H130" s="13" t="inlineStr"/>
      <c r="I130" s="13" t="inlineStr"/>
    </row>
    <row r="131">
      <c r="A131" s="16" t="inlineStr">
        <is>
          <t>Diskon</t>
        </is>
      </c>
      <c r="B131" s="17" t="inlineStr">
        <is>
          <t>TC-DS-12</t>
        </is>
      </c>
      <c r="C131" s="18" t="inlineStr">
        <is>
          <t>P1</t>
        </is>
      </c>
      <c r="D131" s="16" t="inlineStr">
        <is>
          <t>Dua promo berlaku bersamaan</t>
        </is>
      </c>
      <c r="E131" s="16" t="inlineStr">
        <is>
          <t>Hanya satu yang dipakai — yang paling menguntungkan pelanggan</t>
        </is>
      </c>
      <c r="F131" s="16" t="inlineStr">
        <is>
          <t>A-15</t>
        </is>
      </c>
      <c r="G131" s="16" t="inlineStr"/>
      <c r="H131" s="16" t="inlineStr"/>
      <c r="I131" s="16" t="inlineStr"/>
    </row>
    <row r="132">
      <c r="A132" s="13" t="inlineStr">
        <is>
          <t>Diskon</t>
        </is>
      </c>
      <c r="B132" s="14" t="inlineStr">
        <is>
          <t>TC-DS-13</t>
        </is>
      </c>
      <c r="C132" s="15" t="inlineStr">
        <is>
          <t>P1</t>
        </is>
      </c>
      <c r="D132" s="13" t="inlineStr">
        <is>
          <t>Diskon rupiah lebih besar daripada tagihannya</t>
        </is>
      </c>
      <c r="E132" s="13" t="inlineStr">
        <is>
          <t>Potongan berhenti di nilai tagihan; total tidak pernah negatif</t>
        </is>
      </c>
      <c r="F132" s="13" t="inlineStr">
        <is>
          <t>A-15</t>
        </is>
      </c>
      <c r="G132" s="13" t="inlineStr"/>
      <c r="H132" s="13" t="inlineStr"/>
      <c r="I132" s="13" t="inlineStr"/>
    </row>
    <row r="133">
      <c r="A133" s="16" t="inlineStr">
        <is>
          <t>Diskon</t>
        </is>
      </c>
      <c r="B133" s="17" t="inlineStr">
        <is>
          <t>TC-DS-14</t>
        </is>
      </c>
      <c r="C133" s="18" t="inlineStr">
        <is>
          <t>P1</t>
        </is>
      </c>
      <c r="D133" s="16" t="inlineStr">
        <is>
          <t>Pesan menu berpromo dari HP pelanggan</t>
        </is>
      </c>
      <c r="E133" s="16" t="inlineStr">
        <is>
          <t>Potongan yang sama berlaku, berikut nama promonya</t>
        </is>
      </c>
      <c r="F133" s="16" t="inlineStr">
        <is>
          <t>F-CU-17, A-14</t>
        </is>
      </c>
      <c r="G133" s="16" t="inlineStr"/>
      <c r="H133" s="16" t="inlineStr"/>
      <c r="I133" s="16" t="inlineStr"/>
    </row>
    <row r="134">
      <c r="A134" s="13" t="inlineStr">
        <is>
          <t>Diskon</t>
        </is>
      </c>
      <c r="B134" s="14" t="inlineStr">
        <is>
          <t>TC-DS-15</t>
        </is>
      </c>
      <c r="C134" s="19" t="inlineStr">
        <is>
          <t>P2</t>
        </is>
      </c>
      <c r="D134" s="13" t="inlineStr">
        <is>
          <t>Isi tanggal mulai kemarin</t>
        </is>
      </c>
      <c r="E134" s="13" t="inlineStr">
        <is>
          <t>Tidak bisa dipilih di kalendernya</t>
        </is>
      </c>
      <c r="F134" s="13" t="inlineStr">
        <is>
          <t>F-DS-04</t>
        </is>
      </c>
      <c r="G134" s="13" t="inlineStr"/>
      <c r="H134" s="13" t="inlineStr"/>
      <c r="I134" s="13" t="inlineStr"/>
    </row>
    <row r="135">
      <c r="A135" s="16" t="inlineStr">
        <is>
          <t>Diskon</t>
        </is>
      </c>
      <c r="B135" s="17" t="inlineStr">
        <is>
          <t>TC-DS-16</t>
        </is>
      </c>
      <c r="C135" s="20" t="inlineStr">
        <is>
          <t>P2</t>
        </is>
      </c>
      <c r="D135" s="16" t="inlineStr">
        <is>
          <t>Isi tanggal berakhir hari ini</t>
        </is>
      </c>
      <c r="E135" s="16" t="inlineStr">
        <is>
          <t>Ditolak — minimal besok</t>
        </is>
      </c>
      <c r="F135" s="16" t="inlineStr">
        <is>
          <t>F-DS-04</t>
        </is>
      </c>
      <c r="G135" s="16" t="inlineStr"/>
      <c r="H135" s="16" t="inlineStr"/>
      <c r="I135" s="16" t="inlineStr"/>
    </row>
    <row r="136">
      <c r="A136" s="13" t="inlineStr">
        <is>
          <t>Diskon</t>
        </is>
      </c>
      <c r="B136" s="14" t="inlineStr">
        <is>
          <t>TC-DS-17</t>
        </is>
      </c>
      <c r="C136" s="19" t="inlineStr">
        <is>
          <t>P2</t>
        </is>
      </c>
      <c r="D136" s="13" t="inlineStr">
        <is>
          <t>Periksa lencana promo yang belum mulai / sudah lewat / dimatikan</t>
        </is>
      </c>
      <c r="E136" s="13" t="inlineStr">
        <is>
          <t>Berturut-turut: Terjadwal, Sudah lewat, Nonaktif</t>
        </is>
      </c>
      <c r="F136" s="13" t="inlineStr">
        <is>
          <t>F-DS-05</t>
        </is>
      </c>
      <c r="G136" s="13" t="inlineStr"/>
      <c r="H136" s="13" t="inlineStr"/>
      <c r="I136" s="13" t="inlineStr"/>
    </row>
    <row r="137">
      <c r="A137" s="16" t="inlineStr">
        <is>
          <t>Diskon</t>
        </is>
      </c>
      <c r="B137" s="17" t="inlineStr">
        <is>
          <t>TC-DS-18</t>
        </is>
      </c>
      <c r="C137" s="20" t="inlineStr">
        <is>
          <t>P2</t>
        </is>
      </c>
      <c r="D137" s="16" t="inlineStr">
        <is>
          <t>Nonaktifkan promo tanpa menghapusnya</t>
        </is>
      </c>
      <c r="E137" s="16" t="inlineStr">
        <is>
          <t>Hilang dari perhitungan, tetap ada di daftar</t>
        </is>
      </c>
      <c r="F137" s="16" t="inlineStr">
        <is>
          <t>F-DS-06</t>
        </is>
      </c>
      <c r="G137" s="16" t="inlineStr"/>
      <c r="H137" s="16" t="inlineStr"/>
      <c r="I137" s="16" t="inlineStr"/>
    </row>
    <row r="138">
      <c r="A138" s="13" t="inlineStr">
        <is>
          <t>Diskon</t>
        </is>
      </c>
      <c r="B138" s="14" t="inlineStr">
        <is>
          <t>TC-DS-19</t>
        </is>
      </c>
      <c r="C138" s="15" t="inlineStr">
        <is>
          <t>P1</t>
        </is>
      </c>
      <c r="D138" s="13" t="inlineStr">
        <is>
          <t>Selesaikan transaksi berdiskon, lalu hapus promonya, lalu cetak ulang struknya</t>
        </is>
      </c>
      <c r="E138" s="13" t="inlineStr">
        <is>
          <t>Struk lama tetap menyebut potongan yang benar</t>
        </is>
      </c>
      <c r="F138" s="13" t="inlineStr">
        <is>
          <t>F-DS-08</t>
        </is>
      </c>
      <c r="G138" s="13" t="inlineStr"/>
      <c r="H138" s="13" t="inlineStr"/>
      <c r="I138" s="13" t="inlineStr"/>
    </row>
    <row r="139">
      <c r="A139" s="16" t="inlineStr">
        <is>
          <t>Diskon</t>
        </is>
      </c>
      <c r="B139" s="17" t="inlineStr">
        <is>
          <t>TC-DS-20</t>
        </is>
      </c>
      <c r="C139" s="20" t="inlineStr">
        <is>
          <t>P2</t>
        </is>
      </c>
      <c r="D139" s="16" t="inlineStr">
        <is>
          <t>Buat promo dengan potongan 101%</t>
        </is>
      </c>
      <c r="E139" s="16" t="inlineStr">
        <is>
          <t>Ditolak — persen antara 1 dan 100</t>
        </is>
      </c>
      <c r="F139" s="16" t="inlineStr">
        <is>
          <t>F-DS-03</t>
        </is>
      </c>
      <c r="G139" s="16" t="inlineStr"/>
      <c r="H139" s="16" t="inlineStr"/>
      <c r="I139" s="16" t="inlineStr"/>
    </row>
    <row r="140">
      <c r="A140" s="13" t="inlineStr">
        <is>
          <t>Diskon</t>
        </is>
      </c>
      <c r="B140" s="14" t="inlineStr">
        <is>
          <t>TC-DS-21</t>
        </is>
      </c>
      <c r="C140" s="19" t="inlineStr">
        <is>
          <t>P2</t>
        </is>
      </c>
      <c r="D140" s="13" t="inlineStr">
        <is>
          <t>Simpan promo berbasis menu tanpa memilih satu pun menu</t>
        </is>
      </c>
      <c r="E140" s="13" t="inlineStr">
        <is>
          <t>Ditolak</t>
        </is>
      </c>
      <c r="F140" s="13" t="inlineStr">
        <is>
          <t>F-DS-01</t>
        </is>
      </c>
      <c r="G140" s="13" t="inlineStr"/>
      <c r="H140" s="13" t="inlineStr"/>
      <c r="I140" s="13" t="inlineStr"/>
    </row>
    <row r="141">
      <c r="A141" s="16" t="inlineStr">
        <is>
          <t>Kotak Masuk &amp; Pengumuman</t>
        </is>
      </c>
      <c r="B141" s="17" t="inlineStr">
        <is>
          <t>TC-IN-01</t>
        </is>
      </c>
      <c r="C141" s="20" t="inlineStr">
        <is>
          <t>P2</t>
        </is>
      </c>
      <c r="D141" s="16" t="inlineStr">
        <is>
          <t>Buka kotak masuk karyawan</t>
        </is>
      </c>
      <c r="E141" s="16" t="inlineStr">
        <is>
          <t>Dua tab: Update Aplikasi dan General, masing-masing berpenghitung sendiri</t>
        </is>
      </c>
      <c r="F141" s="16" t="inlineStr">
        <is>
          <t>F-IN-01, F-IN-02</t>
        </is>
      </c>
      <c r="G141" s="16" t="inlineStr"/>
      <c r="H141" s="16" t="inlineStr"/>
      <c r="I141" s="16" t="inlineStr"/>
    </row>
    <row r="142">
      <c r="A142" s="13" t="inlineStr">
        <is>
          <t>Kotak Masuk &amp; Pengumuman</t>
        </is>
      </c>
      <c r="B142" s="14" t="inlineStr">
        <is>
          <t>TC-IN-02</t>
        </is>
      </c>
      <c r="C142" s="15" t="inlineStr">
        <is>
          <t>P1</t>
        </is>
      </c>
      <c r="D142" s="13" t="inlineStr">
        <is>
          <t>Buka tab General → Tandai semua dibaca</t>
        </is>
      </c>
      <c r="E142" s="13" t="inlineStr">
        <is>
          <t>Hanya tab General yang tertandai; tab Update Aplikasi tidak tersentuh</t>
        </is>
      </c>
      <c r="F142" s="13" t="inlineStr">
        <is>
          <t>F-IN-15</t>
        </is>
      </c>
      <c r="G142" s="13" t="inlineStr"/>
      <c r="H142" s="13" t="inlineStr"/>
      <c r="I142" s="13" t="inlineStr"/>
    </row>
    <row r="143">
      <c r="A143" s="16" t="inlineStr">
        <is>
          <t>Kotak Masuk &amp; Pengumuman</t>
        </is>
      </c>
      <c r="B143" s="17" t="inlineStr">
        <is>
          <t>TC-IN-03</t>
        </is>
      </c>
      <c r="C143" s="18" t="inlineStr">
        <is>
          <t>P1</t>
        </is>
      </c>
      <c r="D143" s="16" t="inlineStr">
        <is>
          <t>Hal yang sama untuk Hapus semua</t>
        </is>
      </c>
      <c r="E143" s="16" t="inlineStr">
        <is>
          <t>Hanya tab yang sedang dibuka</t>
        </is>
      </c>
      <c r="F143" s="16" t="inlineStr">
        <is>
          <t>F-IN-15</t>
        </is>
      </c>
      <c r="G143" s="16" t="inlineStr"/>
      <c r="H143" s="16" t="inlineStr"/>
      <c r="I143" s="16" t="inlineStr"/>
    </row>
    <row r="144">
      <c r="A144" s="13" t="inlineStr">
        <is>
          <t>Kotak Masuk &amp; Pengumuman</t>
        </is>
      </c>
      <c r="B144" s="14" t="inlineStr">
        <is>
          <t>TC-IN-04</t>
        </is>
      </c>
      <c r="C144" s="19" t="inlineStr">
        <is>
          <t>P2</t>
        </is>
      </c>
      <c r="D144" s="13" t="inlineStr">
        <is>
          <t>Hapus pesan, lalu buka dari akun lain</t>
        </is>
      </c>
      <c r="E144" s="13" t="inlineStr">
        <is>
          <t>Pesannya masih ada di akun lain itu</t>
        </is>
      </c>
      <c r="F144" s="13" t="inlineStr">
        <is>
          <t>F-IN-03</t>
        </is>
      </c>
      <c r="G144" s="13" t="inlineStr"/>
      <c r="H144" s="13" t="inlineStr"/>
      <c r="I144" s="13" t="inlineStr"/>
    </row>
    <row r="145">
      <c r="A145" s="16" t="inlineStr">
        <is>
          <t>Kotak Masuk &amp; Pengumuman</t>
        </is>
      </c>
      <c r="B145" s="17" t="inlineStr">
        <is>
          <t>TC-IN-05</t>
        </is>
      </c>
      <c r="C145" s="18" t="inlineStr">
        <is>
          <t>P1</t>
        </is>
      </c>
      <c r="D145" s="16" t="inlineStr">
        <is>
          <t>Admin resto A kirim pengumuman → buka kotak masuk karyawan resto B</t>
        </is>
      </c>
      <c r="E145" s="16" t="inlineStr">
        <is>
          <t>Tidak muncul</t>
        </is>
      </c>
      <c r="F145" s="16" t="inlineStr">
        <is>
          <t>F-IN-10, A-10</t>
        </is>
      </c>
      <c r="G145" s="16" t="inlineStr"/>
      <c r="H145" s="16" t="inlineStr"/>
      <c r="I145" s="16" t="inlineStr"/>
    </row>
    <row r="146">
      <c r="A146" s="13" t="inlineStr">
        <is>
          <t>Kotak Masuk &amp; Pengumuman</t>
        </is>
      </c>
      <c r="B146" s="14" t="inlineStr">
        <is>
          <t>TC-IN-06</t>
        </is>
      </c>
      <c r="C146" s="15" t="inlineStr">
        <is>
          <t>P1</t>
        </is>
      </c>
      <c r="D146" s="13" t="inlineStr">
        <is>
          <t>Kirim pengumuman bersasaran Karyawan → buka kotak masuk pelanggan</t>
        </is>
      </c>
      <c r="E146" s="13" t="inlineStr">
        <is>
          <t>Tidak muncul</t>
        </is>
      </c>
      <c r="F146" s="13" t="inlineStr">
        <is>
          <t>F-IN-11, A-20</t>
        </is>
      </c>
      <c r="G146" s="13" t="inlineStr"/>
      <c r="H146" s="13" t="inlineStr"/>
      <c r="I146" s="13" t="inlineStr"/>
    </row>
    <row r="147">
      <c r="A147" s="16" t="inlineStr">
        <is>
          <t>Kotak Masuk &amp; Pengumuman</t>
        </is>
      </c>
      <c r="B147" s="17" t="inlineStr">
        <is>
          <t>TC-IN-07</t>
        </is>
      </c>
      <c r="C147" s="18" t="inlineStr">
        <is>
          <t>P1</t>
        </is>
      </c>
      <c r="D147" s="16" t="inlineStr">
        <is>
          <t>Kirim pengumuman bersasaran Customer → buka kotak masuk karyawan</t>
        </is>
      </c>
      <c r="E147" s="16" t="inlineStr">
        <is>
          <t>Tidak muncul</t>
        </is>
      </c>
      <c r="F147" s="16" t="inlineStr">
        <is>
          <t>F-IN-11</t>
        </is>
      </c>
      <c r="G147" s="16" t="inlineStr"/>
      <c r="H147" s="16" t="inlineStr"/>
      <c r="I147" s="16" t="inlineStr"/>
    </row>
    <row r="148">
      <c r="A148" s="13" t="inlineStr">
        <is>
          <t>Kotak Masuk &amp; Pengumuman</t>
        </is>
      </c>
      <c r="B148" s="14" t="inlineStr">
        <is>
          <t>TC-IN-08</t>
        </is>
      </c>
      <c r="C148" s="19" t="inlineStr">
        <is>
          <t>P2</t>
        </is>
      </c>
      <c r="D148" s="13" t="inlineStr">
        <is>
          <t>Kirim bersasaran Semua</t>
        </is>
      </c>
      <c r="E148" s="13" t="inlineStr">
        <is>
          <t>Muncul di keduanya</t>
        </is>
      </c>
      <c r="F148" s="13" t="inlineStr">
        <is>
          <t>F-IN-11</t>
        </is>
      </c>
      <c r="G148" s="13" t="inlineStr"/>
      <c r="H148" s="13" t="inlineStr"/>
      <c r="I148" s="13" t="inlineStr"/>
    </row>
    <row r="149">
      <c r="A149" s="16" t="inlineStr">
        <is>
          <t>Kotak Masuk &amp; Pengumuman</t>
        </is>
      </c>
      <c r="B149" s="17" t="inlineStr">
        <is>
          <t>TC-IN-09</t>
        </is>
      </c>
      <c r="C149" s="20" t="inlineStr">
        <is>
          <t>P2</t>
        </is>
      </c>
      <c r="D149" s="16" t="inlineStr">
        <is>
          <t>Sertakan gambar promo pada pengumuman</t>
        </is>
      </c>
      <c r="E149" s="16" t="inlineStr">
        <is>
          <t>Gambarnya tampil utuh saat dibuka</t>
        </is>
      </c>
      <c r="F149" s="16" t="inlineStr">
        <is>
          <t>F-IN-09</t>
        </is>
      </c>
      <c r="G149" s="16" t="inlineStr"/>
      <c r="H149" s="16" t="inlineStr"/>
      <c r="I149" s="16" t="inlineStr"/>
    </row>
    <row r="150">
      <c r="A150" s="13" t="inlineStr">
        <is>
          <t>Kotak Masuk &amp; Pengumuman</t>
        </is>
      </c>
      <c r="B150" s="14" t="inlineStr">
        <is>
          <t>TC-IN-10</t>
        </is>
      </c>
      <c r="C150" s="19" t="inlineStr">
        <is>
          <t>P2</t>
        </is>
      </c>
      <c r="D150" s="13" t="inlineStr">
        <is>
          <t>Pelanggan yang pernah memesan di resto A membuka Kotak Masuk di menu utama</t>
        </is>
      </c>
      <c r="E150" s="13" t="inlineStr">
        <is>
          <t>Promo resto A muncul berikut nama restonya</t>
        </is>
      </c>
      <c r="F150" s="13" t="inlineStr">
        <is>
          <t>F-IN-12, F-IN-13</t>
        </is>
      </c>
      <c r="G150" s="13" t="inlineStr"/>
      <c r="H150" s="13" t="inlineStr"/>
      <c r="I150" s="13" t="inlineStr"/>
    </row>
    <row r="151">
      <c r="A151" s="16" t="inlineStr">
        <is>
          <t>Kotak Masuk &amp; Pengumuman</t>
        </is>
      </c>
      <c r="B151" s="17" t="inlineStr">
        <is>
          <t>TC-IN-11</t>
        </is>
      </c>
      <c r="C151" s="20" t="inlineStr">
        <is>
          <t>P2</t>
        </is>
      </c>
      <c r="D151" s="16" t="inlineStr">
        <is>
          <t>Hal yang sama sebagai tamu</t>
        </is>
      </c>
      <c r="E151" s="16" t="inlineStr">
        <is>
          <t>Tetap menerima, berdasar pesanan yang tersimpan di HP-nya</t>
        </is>
      </c>
      <c r="F151" s="16" t="inlineStr">
        <is>
          <t>F-IN-14</t>
        </is>
      </c>
      <c r="G151" s="16" t="inlineStr"/>
      <c r="H151" s="16" t="inlineStr"/>
      <c r="I151" s="16" t="inlineStr"/>
    </row>
    <row r="152">
      <c r="A152" s="13" t="inlineStr">
        <is>
          <t>Kotak Masuk &amp; Pengumuman</t>
        </is>
      </c>
      <c r="B152" s="14" t="inlineStr">
        <is>
          <t>TC-IN-12</t>
        </is>
      </c>
      <c r="C152" s="19" t="inlineStr">
        <is>
          <t>P2</t>
        </is>
      </c>
      <c r="D152" s="13" t="inlineStr">
        <is>
          <t>Pelanggan tamu membuka kotak masuk</t>
        </is>
      </c>
      <c r="E152" s="13" t="inlineStr">
        <is>
          <t>Tombol tandai/hapus tidak ditawarkan — tamu tidak punya tempat menyimpan penandanya</t>
        </is>
      </c>
      <c r="F152" s="13" t="inlineStr">
        <is>
          <t>F-IN-03</t>
        </is>
      </c>
      <c r="G152" s="13" t="inlineStr"/>
      <c r="H152" s="13" t="inlineStr"/>
      <c r="I152" s="13" t="inlineStr"/>
    </row>
    <row r="153">
      <c r="A153" s="16" t="inlineStr">
        <is>
          <t>Kotak Masuk &amp; Pengumuman</t>
        </is>
      </c>
      <c r="B153" s="17" t="inlineStr">
        <is>
          <t>TC-IN-13</t>
        </is>
      </c>
      <c r="C153" s="18" t="inlineStr">
        <is>
          <t>P1</t>
        </is>
      </c>
      <c r="D153" s="16" t="inlineStr">
        <is>
          <t>Terbitkan pengumuman baru saat aplikasi tertutup</t>
        </is>
      </c>
      <c r="E153" s="16" t="inlineStr">
        <is>
          <t>Notifikasi sampai ke HP</t>
        </is>
      </c>
      <c r="F153" s="16" t="inlineStr">
        <is>
          <t>F-IN-07, A-08</t>
        </is>
      </c>
      <c r="G153" s="16" t="inlineStr"/>
      <c r="H153" s="16" t="inlineStr"/>
      <c r="I153" s="16" t="inlineStr"/>
    </row>
    <row r="154">
      <c r="A154" s="13" t="inlineStr">
        <is>
          <t>Kotak Masuk &amp; Pengumuman</t>
        </is>
      </c>
      <c r="B154" s="14" t="inlineStr">
        <is>
          <t>TC-IN-14</t>
        </is>
      </c>
      <c r="C154" s="19" t="inlineStr">
        <is>
          <t>P2</t>
        </is>
      </c>
      <c r="D154" s="13" t="inlineStr">
        <is>
          <t>Terbitkan pengumuman saat aplikasi sedang dibuka</t>
        </is>
      </c>
      <c r="E154" s="13" t="inlineStr">
        <is>
          <t>Notifikasi tetap muncul di bar notifikasi</t>
        </is>
      </c>
      <c r="F154" s="13" t="inlineStr">
        <is>
          <t>TSD §8</t>
        </is>
      </c>
      <c r="G154" s="13" t="inlineStr"/>
      <c r="H154" s="13" t="inlineStr"/>
      <c r="I154" s="13" t="inlineStr"/>
    </row>
    <row r="155">
      <c r="A155" s="16" t="inlineStr">
        <is>
          <t>Pembayaran QRIS</t>
        </is>
      </c>
      <c r="B155" s="17" t="inlineStr">
        <is>
          <t>TC-PG-01</t>
        </is>
      </c>
      <c r="C155" s="18" t="inlineStr">
        <is>
          <t>P1</t>
        </is>
      </c>
      <c r="D155" s="16" t="inlineStr">
        <is>
          <t>Pesan dan pilih QRIS pada resto yang sub-akunnya aktif</t>
        </is>
      </c>
      <c r="E155" s="16" t="inlineStr">
        <is>
          <t>QR-nya dari penyedia pembayaran sungguhan, bisa dipindai aplikasi bank</t>
        </is>
      </c>
      <c r="F155" s="16" t="inlineStr">
        <is>
          <t>F-PG-01</t>
        </is>
      </c>
      <c r="G155" s="16" t="inlineStr"/>
      <c r="H155" s="16" t="inlineStr"/>
      <c r="I155" s="16" t="inlineStr"/>
    </row>
    <row r="156">
      <c r="A156" s="13" t="inlineStr">
        <is>
          <t>Pembayaran QRIS</t>
        </is>
      </c>
      <c r="B156" s="14" t="inlineStr">
        <is>
          <t>TC-PG-02</t>
        </is>
      </c>
      <c r="C156" s="15" t="inlineStr">
        <is>
          <t>P1</t>
        </is>
      </c>
      <c r="D156" s="13" t="inlineStr">
        <is>
          <t>Bandingkan nominal di layar QRIS dengan total tagihan</t>
        </is>
      </c>
      <c r="E156" s="13" t="inlineStr">
        <is>
          <t>Sama persis, sudah termasuk service dan PPN, sudah dikurangi diskon</t>
        </is>
      </c>
      <c r="F156" s="13" t="inlineStr">
        <is>
          <t>F-PG-01</t>
        </is>
      </c>
      <c r="G156" s="13" t="inlineStr"/>
      <c r="H156" s="13" t="inlineStr"/>
      <c r="I156" s="13" t="inlineStr"/>
    </row>
    <row r="157">
      <c r="A157" s="16" t="inlineStr">
        <is>
          <t>Pembayaran QRIS</t>
        </is>
      </c>
      <c r="B157" s="17" t="inlineStr">
        <is>
          <t>TC-PG-03</t>
        </is>
      </c>
      <c r="C157" s="18" t="inlineStr">
        <is>
          <t>P1</t>
        </is>
      </c>
      <c r="D157" s="16" t="inlineStr">
        <is>
          <t>Bayar sungguhan lewat aplikasi bank</t>
        </is>
      </c>
      <c r="E157" s="16" t="inlineStr">
        <is>
          <t>Layar berpindah sendiri ke Pembayaran Berhasil, tanpa ada yang menekan apa pun</t>
        </is>
      </c>
      <c r="F157" s="16" t="inlineStr">
        <is>
          <t>F-PG-02</t>
        </is>
      </c>
      <c r="G157" s="16" t="inlineStr"/>
      <c r="H157" s="16" t="inlineStr"/>
      <c r="I157" s="16" t="inlineStr"/>
    </row>
    <row r="158">
      <c r="A158" s="13" t="inlineStr">
        <is>
          <t>Pembayaran QRIS</t>
        </is>
      </c>
      <c r="B158" s="14" t="inlineStr">
        <is>
          <t>TC-PG-04</t>
        </is>
      </c>
      <c r="C158" s="15" t="inlineStr">
        <is>
          <t>P1</t>
        </is>
      </c>
      <c r="D158" s="13" t="inlineStr">
        <is>
          <t>Periksa layar kasir pada resto dengan penyedia aktif</t>
        </is>
      </c>
      <c r="E158" s="13" t="inlineStr">
        <is>
          <t>Tombol konfirmasi manual tidak ada</t>
        </is>
      </c>
      <c r="F158" s="13" t="inlineStr">
        <is>
          <t>F-PG-07</t>
        </is>
      </c>
      <c r="G158" s="13" t="inlineStr"/>
      <c r="H158" s="13" t="inlineStr"/>
      <c r="I158" s="13" t="inlineStr"/>
    </row>
    <row r="159">
      <c r="A159" s="16" t="inlineStr">
        <is>
          <t>Pembayaran QRIS</t>
        </is>
      </c>
      <c r="B159" s="17" t="inlineStr">
        <is>
          <t>TC-PG-05</t>
        </is>
      </c>
      <c r="C159" s="20" t="inlineStr">
        <is>
          <t>P2</t>
        </is>
      </c>
      <c r="D159" s="16" t="inlineStr">
        <is>
          <t>Resto yang belum punya sub-akun</t>
        </is>
      </c>
      <c r="E159" s="16" t="inlineStr">
        <is>
          <t>QR simulasi tampil berikut tombol konfirmasi manual</t>
        </is>
      </c>
      <c r="F159" s="16" t="inlineStr">
        <is>
          <t>F-PG-06</t>
        </is>
      </c>
      <c r="G159" s="16" t="inlineStr"/>
      <c r="H159" s="16" t="inlineStr"/>
      <c r="I159" s="16" t="inlineStr"/>
    </row>
    <row r="160">
      <c r="A160" s="13" t="inlineStr">
        <is>
          <t>Pembayaran QRIS</t>
        </is>
      </c>
      <c r="B160" s="14" t="inlineStr">
        <is>
          <t>TC-PG-06</t>
        </is>
      </c>
      <c r="C160" s="19" t="inlineStr">
        <is>
          <t>P2</t>
        </is>
      </c>
      <c r="D160" s="13" t="inlineStr">
        <is>
          <t>Perhatikan hitungan mundur di layar QRIS</t>
        </is>
      </c>
      <c r="E160" s="13" t="inlineStr">
        <is>
          <t>Berjalan; QR kedaluwarsa saat habis</t>
        </is>
      </c>
      <c r="F160" s="13" t="inlineStr">
        <is>
          <t>F-PG-05</t>
        </is>
      </c>
      <c r="G160" s="13" t="inlineStr"/>
      <c r="H160" s="13" t="inlineStr"/>
      <c r="I160" s="13" t="inlineStr"/>
    </row>
    <row r="161">
      <c r="A161" s="16" t="inlineStr">
        <is>
          <t>Pembayaran QRIS</t>
        </is>
      </c>
      <c r="B161" s="17" t="inlineStr">
        <is>
          <t>TC-PG-07</t>
        </is>
      </c>
      <c r="C161" s="18" t="inlineStr">
        <is>
          <t>P1</t>
        </is>
      </c>
      <c r="D161" s="16" t="inlineStr">
        <is>
          <t>Dua resto berbeda menerima pembayaran QRIS</t>
        </is>
      </c>
      <c r="E161" s="16" t="inlineStr">
        <is>
          <t>Dananya masuk ke rekening masing-masing</t>
        </is>
      </c>
      <c r="F161" s="16" t="inlineStr">
        <is>
          <t>F-PG-03</t>
        </is>
      </c>
      <c r="G161" s="16" t="inlineStr"/>
      <c r="H161" s="16" t="inlineStr"/>
      <c r="I161" s="16" t="inlineStr"/>
    </row>
    <row r="162">
      <c r="A162" s="13" t="inlineStr">
        <is>
          <t>Pembayaran QRIS</t>
        </is>
      </c>
      <c r="B162" s="14" t="inlineStr">
        <is>
          <t>TC-PG-08</t>
        </is>
      </c>
      <c r="C162" s="15" t="inlineStr">
        <is>
          <t>P1</t>
        </is>
      </c>
      <c r="D162" s="13" t="inlineStr">
        <is>
          <t>Buka Info Pembayaran sebagai Finance dan Owner</t>
        </is>
      </c>
      <c r="E162" s="13" t="inlineStr">
        <is>
          <t>Pengenal sub-akun tidak terlihat</t>
        </is>
      </c>
      <c r="F162" s="13" t="inlineStr">
        <is>
          <t>F-PG-04</t>
        </is>
      </c>
      <c r="G162" s="13" t="inlineStr"/>
      <c r="H162" s="13" t="inlineStr"/>
      <c r="I162" s="13" t="inlineStr"/>
    </row>
    <row r="163">
      <c r="A163" s="16" t="inlineStr">
        <is>
          <t>Pembayaran QRIS</t>
        </is>
      </c>
      <c r="B163" s="17" t="inlineStr">
        <is>
          <t>TC-PG-09</t>
        </is>
      </c>
      <c r="C163" s="18" t="inlineStr">
        <is>
          <t>P1</t>
        </is>
      </c>
      <c r="D163" s="16" t="inlineStr">
        <is>
          <t>Buka layar resto sebagai Super Admin</t>
        </is>
      </c>
      <c r="E163" s="16" t="inlineStr">
        <is>
          <t>Pengenal sub-akun terlihat dan bisa diubah</t>
        </is>
      </c>
      <c r="F163" s="16" t="inlineStr">
        <is>
          <t>F-PG-04, F-SA-05</t>
        </is>
      </c>
      <c r="G163" s="16" t="inlineStr"/>
      <c r="H163" s="16" t="inlineStr"/>
      <c r="I163" s="16" t="inlineStr"/>
    </row>
    <row r="164">
      <c r="A164" s="13" t="inlineStr">
        <is>
          <t>Pembayaran QRIS</t>
        </is>
      </c>
      <c r="B164" s="14" t="inlineStr">
        <is>
          <t>TC-PG-10</t>
        </is>
      </c>
      <c r="C164" s="19" t="inlineStr">
        <is>
          <t>P2</t>
        </is>
      </c>
      <c r="D164" s="13" t="inlineStr">
        <is>
          <t>Simpan QR ke galeri dari layar pelanggan</t>
        </is>
      </c>
      <c r="E164" s="13" t="inlineStr">
        <is>
          <t>Tersimpan dan masih bisa dipindai dari galeri</t>
        </is>
      </c>
      <c r="F164" s="13" t="inlineStr">
        <is>
          <t>—</t>
        </is>
      </c>
      <c r="G164" s="13" t="inlineStr"/>
      <c r="H164" s="13" t="inlineStr"/>
      <c r="I164" s="13" t="inlineStr"/>
    </row>
    <row r="165">
      <c r="A165" s="16" t="inlineStr">
        <is>
          <t>Pembatalan &amp; Kedaluwarsa</t>
        </is>
      </c>
      <c r="B165" s="17" t="inlineStr">
        <is>
          <t>TC-CN-01</t>
        </is>
      </c>
      <c r="C165" s="18" t="inlineStr">
        <is>
          <t>P1</t>
        </is>
      </c>
      <c r="D165" s="16" t="inlineStr">
        <is>
          <t>Pesanan belum dibayar → Pesanan Saya → Batalkan</t>
        </is>
      </c>
      <c r="E165" s="16" t="inlineStr">
        <is>
          <t>Berhasil; statusnya jadi Dibatalkan</t>
        </is>
      </c>
      <c r="F165" s="16" t="inlineStr">
        <is>
          <t>F-CN-01, F-CN-02</t>
        </is>
      </c>
      <c r="G165" s="16" t="inlineStr"/>
      <c r="H165" s="16" t="inlineStr"/>
      <c r="I165" s="16" t="inlineStr"/>
    </row>
    <row r="166">
      <c r="A166" s="13" t="inlineStr">
        <is>
          <t>Pembatalan &amp; Kedaluwarsa</t>
        </is>
      </c>
      <c r="B166" s="14" t="inlineStr">
        <is>
          <t>TC-CN-02</t>
        </is>
      </c>
      <c r="C166" s="15" t="inlineStr">
        <is>
          <t>P1</t>
        </is>
      </c>
      <c r="D166" s="13" t="inlineStr">
        <is>
          <t>Hal yang sama dari layar Riwayat</t>
        </is>
      </c>
      <c r="E166" s="13" t="inlineStr">
        <is>
          <t>Tombolnya ada dan bekerja sama persis</t>
        </is>
      </c>
      <c r="F166" s="13" t="inlineStr">
        <is>
          <t>F-CN-02</t>
        </is>
      </c>
      <c r="G166" s="13" t="inlineStr"/>
      <c r="H166" s="13" t="inlineStr"/>
      <c r="I166" s="13" t="inlineStr"/>
    </row>
    <row r="167">
      <c r="A167" s="16" t="inlineStr">
        <is>
          <t>Pembatalan &amp; Kedaluwarsa</t>
        </is>
      </c>
      <c r="B167" s="17" t="inlineStr">
        <is>
          <t>TC-CN-03</t>
        </is>
      </c>
      <c r="C167" s="18" t="inlineStr">
        <is>
          <t>P1</t>
        </is>
      </c>
      <c r="D167" s="16" t="inlineStr">
        <is>
          <t>Dapur menekan Mulai Masak → pelanggan mencoba membatalkan</t>
        </is>
      </c>
      <c r="E167" s="16" t="inlineStr">
        <is>
          <t>Ditolak; pesannya mengarahkan ke kasir</t>
        </is>
      </c>
      <c r="F167" s="16" t="inlineStr">
        <is>
          <t>F-CN-03</t>
        </is>
      </c>
      <c r="G167" s="16" t="inlineStr"/>
      <c r="H167" s="16" t="inlineStr"/>
      <c r="I167" s="16" t="inlineStr"/>
    </row>
    <row r="168">
      <c r="A168" s="13" t="inlineStr">
        <is>
          <t>Pembatalan &amp; Kedaluwarsa</t>
        </is>
      </c>
      <c r="B168" s="14" t="inlineStr">
        <is>
          <t>TC-CN-04</t>
        </is>
      </c>
      <c r="C168" s="15" t="inlineStr">
        <is>
          <t>P1</t>
        </is>
      </c>
      <c r="D168" s="13" t="inlineStr">
        <is>
          <t>Pesanan yang sudah dibayar</t>
        </is>
      </c>
      <c r="E168" s="13" t="inlineStr">
        <is>
          <t>Tombol batal tidak ada</t>
        </is>
      </c>
      <c r="F168" s="13" t="inlineStr">
        <is>
          <t>F-CN-01</t>
        </is>
      </c>
      <c r="G168" s="13" t="inlineStr"/>
      <c r="H168" s="13" t="inlineStr"/>
      <c r="I168" s="13" t="inlineStr"/>
    </row>
    <row r="169">
      <c r="A169" s="16" t="inlineStr">
        <is>
          <t>Pembatalan &amp; Kedaluwarsa</t>
        </is>
      </c>
      <c r="B169" s="17" t="inlineStr">
        <is>
          <t>TC-CN-05</t>
        </is>
      </c>
      <c r="C169" s="18" t="inlineStr">
        <is>
          <t>P1</t>
        </is>
      </c>
      <c r="D169" s="16" t="inlineStr">
        <is>
          <t>Coba batalkan pesanan orang lain (dari perangkat berbeda)</t>
        </is>
      </c>
      <c r="E169" s="16" t="inlineStr">
        <is>
          <t>Ditolak</t>
        </is>
      </c>
      <c r="F169" s="16" t="inlineStr">
        <is>
          <t>F-CN-04, TSD §5.2</t>
        </is>
      </c>
      <c r="G169" s="16" t="inlineStr"/>
      <c r="H169" s="16" t="inlineStr"/>
      <c r="I169" s="16" t="inlineStr"/>
    </row>
    <row r="170">
      <c r="A170" s="13" t="inlineStr">
        <is>
          <t>Pembatalan &amp; Kedaluwarsa</t>
        </is>
      </c>
      <c r="B170" s="14" t="inlineStr">
        <is>
          <t>TC-CN-06</t>
        </is>
      </c>
      <c r="C170" s="15" t="inlineStr">
        <is>
          <t>P1</t>
        </is>
      </c>
      <c r="D170" s="13" t="inlineStr">
        <is>
          <t>Pesanan tunai dibiarkan 31 menit</t>
        </is>
      </c>
      <c r="E170" s="13" t="inlineStr">
        <is>
          <t>Statusnya jadi Hangus sendiri</t>
        </is>
      </c>
      <c r="F170" s="13" t="inlineStr">
        <is>
          <t>F-CN-05</t>
        </is>
      </c>
      <c r="G170" s="13" t="inlineStr"/>
      <c r="H170" s="13" t="inlineStr"/>
      <c r="I170" s="13" t="inlineStr"/>
    </row>
    <row r="171">
      <c r="A171" s="16" t="inlineStr">
        <is>
          <t>Pembatalan &amp; Kedaluwarsa</t>
        </is>
      </c>
      <c r="B171" s="17" t="inlineStr">
        <is>
          <t>TC-CN-07</t>
        </is>
      </c>
      <c r="C171" s="18" t="inlineStr">
        <is>
          <t>P1</t>
        </is>
      </c>
      <c r="D171" s="16" t="inlineStr">
        <is>
          <t>Bandingkan tampilan pesanan Dibatalkan dan Hangus</t>
        </is>
      </c>
      <c r="E171" s="16" t="inlineStr">
        <is>
          <t>Dua label berbeda, tidak tertukar</t>
        </is>
      </c>
      <c r="F171" s="16" t="inlineStr">
        <is>
          <t>F-CN-06</t>
        </is>
      </c>
      <c r="G171" s="16" t="inlineStr"/>
      <c r="H171" s="16" t="inlineStr"/>
      <c r="I171" s="16" t="inlineStr"/>
    </row>
    <row r="172">
      <c r="A172" s="13" t="inlineStr">
        <is>
          <t>Pembatalan &amp; Kedaluwarsa</t>
        </is>
      </c>
      <c r="B172" s="14" t="inlineStr">
        <is>
          <t>TC-CN-08</t>
        </is>
      </c>
      <c r="C172" s="15" t="inlineStr">
        <is>
          <t>P1</t>
        </is>
      </c>
      <c r="D172" s="13" t="inlineStr">
        <is>
          <t>Buka Pesanan Masuk sesudah ada pesanan dibatalkan</t>
        </is>
      </c>
      <c r="E172" s="13" t="inlineStr">
        <is>
          <t>Tidak muncul, dan tidak berlabel "Menunggu Pembayaran"</t>
        </is>
      </c>
      <c r="F172" s="13" t="inlineStr">
        <is>
          <t>A-17</t>
        </is>
      </c>
      <c r="G172" s="13" t="inlineStr"/>
      <c r="H172" s="13" t="inlineStr"/>
      <c r="I172" s="13" t="inlineStr"/>
    </row>
    <row r="173">
      <c r="A173" s="16" t="inlineStr">
        <is>
          <t>Pembatalan &amp; Kedaluwarsa</t>
        </is>
      </c>
      <c r="B173" s="17" t="inlineStr">
        <is>
          <t>TC-CN-09</t>
        </is>
      </c>
      <c r="C173" s="18" t="inlineStr">
        <is>
          <t>P1</t>
        </is>
      </c>
      <c r="D173" s="16" t="inlineStr">
        <is>
          <t>Pesanan QRIS yang belum dibayar dibiarkan 31 menit</t>
        </is>
      </c>
      <c r="E173" s="16" t="inlineStr">
        <is>
          <t>Tidak ikut hangus — tenggangnya di sisi penyedia</t>
        </is>
      </c>
      <c r="F173" s="16" t="inlineStr">
        <is>
          <t>TSD §7.2</t>
        </is>
      </c>
      <c r="G173" s="16" t="inlineStr"/>
      <c r="H173" s="16" t="inlineStr"/>
      <c r="I173" s="16" t="inlineStr"/>
    </row>
    <row r="174">
      <c r="A174" s="13" t="inlineStr">
        <is>
          <t>Sesi Meja &amp; Identitas</t>
        </is>
      </c>
      <c r="B174" s="14" t="inlineStr">
        <is>
          <t>TC-SS-01</t>
        </is>
      </c>
      <c r="C174" s="19" t="inlineStr">
        <is>
          <t>P2</t>
        </is>
      </c>
      <c r="D174" s="13" t="inlineStr">
        <is>
          <t>Pindai QR meja</t>
        </is>
      </c>
      <c r="E174" s="13" t="inlineStr">
        <is>
          <t>Sesi terbuka: resto dan nomor meja terisi sendiri</t>
        </is>
      </c>
      <c r="F174" s="13" t="inlineStr">
        <is>
          <t>F-SS-01</t>
        </is>
      </c>
      <c r="G174" s="13" t="inlineStr"/>
      <c r="H174" s="13" t="inlineStr"/>
      <c r="I174" s="13" t="inlineStr"/>
    </row>
    <row r="175">
      <c r="A175" s="16" t="inlineStr">
        <is>
          <t>Sesi Meja &amp; Identitas</t>
        </is>
      </c>
      <c r="B175" s="17" t="inlineStr">
        <is>
          <t>TC-SS-02</t>
        </is>
      </c>
      <c r="C175" s="20" t="inlineStr">
        <is>
          <t>P2</t>
        </is>
      </c>
      <c r="D175" s="16" t="inlineStr">
        <is>
          <t>Pesan sebagai tamu, tutup aplikasi, buka lagi</t>
        </is>
      </c>
      <c r="E175" s="16" t="inlineStr">
        <is>
          <t>Riwayatnya masih ada</t>
        </is>
      </c>
      <c r="F175" s="16" t="inlineStr">
        <is>
          <t>F-SS-02</t>
        </is>
      </c>
      <c r="G175" s="16" t="inlineStr"/>
      <c r="H175" s="16" t="inlineStr"/>
      <c r="I175" s="16" t="inlineStr"/>
    </row>
    <row r="176">
      <c r="A176" s="13" t="inlineStr">
        <is>
          <t>Sesi Meja &amp; Identitas</t>
        </is>
      </c>
      <c r="B176" s="14" t="inlineStr">
        <is>
          <t>TC-SS-03</t>
        </is>
      </c>
      <c r="C176" s="15" t="inlineStr">
        <is>
          <t>P1</t>
        </is>
      </c>
      <c r="D176" s="13" t="inlineStr">
        <is>
          <t>Pesan sebagai tamu → login dengan email yang belum pernah dipakai</t>
        </is>
      </c>
      <c r="E176" s="13" t="inlineStr">
        <is>
          <t>Riwayat tamunya berpindah ke akun itu</t>
        </is>
      </c>
      <c r="F176" s="13" t="inlineStr">
        <is>
          <t>F-SS-03, F-CU-13</t>
        </is>
      </c>
      <c r="G176" s="13" t="inlineStr"/>
      <c r="H176" s="13" t="inlineStr"/>
      <c r="I176" s="13" t="inlineStr"/>
    </row>
    <row r="177">
      <c r="A177" s="16" t="inlineStr">
        <is>
          <t>Sesi Meja &amp; Identitas</t>
        </is>
      </c>
      <c r="B177" s="17" t="inlineStr">
        <is>
          <t>TC-SS-04</t>
        </is>
      </c>
      <c r="C177" s="18" t="inlineStr">
        <is>
          <t>P1</t>
        </is>
      </c>
      <c r="D177" s="16" t="inlineStr">
        <is>
          <t>Pesan sebagai tamu → login dengan email yang sudah punya riwayat</t>
        </is>
      </c>
      <c r="E177" s="16" t="inlineStr">
        <is>
          <t>Keduanya tetap terpisah; riwayat akun tidak tercampur</t>
        </is>
      </c>
      <c r="F177" s="16" t="inlineStr">
        <is>
          <t>F-SS-04, F-SS-05</t>
        </is>
      </c>
      <c r="G177" s="16" t="inlineStr"/>
      <c r="H177" s="16" t="inlineStr"/>
      <c r="I177" s="16" t="inlineStr"/>
    </row>
    <row r="178">
      <c r="A178" s="13" t="inlineStr">
        <is>
          <t>Sesi Meja &amp; Identitas</t>
        </is>
      </c>
      <c r="B178" s="14" t="inlineStr">
        <is>
          <t>TC-SS-05</t>
        </is>
      </c>
      <c r="C178" s="19" t="inlineStr">
        <is>
          <t>P2</t>
        </is>
      </c>
      <c r="D178" s="13" t="inlineStr">
        <is>
          <t>Kasus di atas → logout lagi</t>
        </is>
      </c>
      <c r="E178" s="13" t="inlineStr">
        <is>
          <t>Riwayat tamu masih ada di perangkat</t>
        </is>
      </c>
      <c r="F178" s="13" t="inlineStr">
        <is>
          <t>F-SS-05</t>
        </is>
      </c>
      <c r="G178" s="13" t="inlineStr"/>
      <c r="H178" s="13" t="inlineStr"/>
      <c r="I178" s="13" t="inlineStr"/>
    </row>
    <row r="179">
      <c r="A179" s="16" t="inlineStr">
        <is>
          <t>Sesi Meja &amp; Identitas</t>
        </is>
      </c>
      <c r="B179" s="17" t="inlineStr">
        <is>
          <t>TC-SS-06</t>
        </is>
      </c>
      <c r="C179" s="20" t="inlineStr">
        <is>
          <t>P2</t>
        </is>
      </c>
      <c r="D179" s="16" t="inlineStr">
        <is>
          <t>Selesaikan seluruh pesanan dalam sesi, tunggu 6 menit</t>
        </is>
      </c>
      <c r="E179" s="16" t="inlineStr">
        <is>
          <t>Sesinya tertutup sendiri</t>
        </is>
      </c>
      <c r="F179" s="16" t="inlineStr">
        <is>
          <t>F-SS-06</t>
        </is>
      </c>
      <c r="G179" s="16" t="inlineStr"/>
      <c r="H179" s="16" t="inlineStr"/>
      <c r="I179" s="16" t="inlineStr"/>
    </row>
    <row r="180">
      <c r="A180" s="13" t="inlineStr">
        <is>
          <t>Sesi Meja &amp; Identitas</t>
        </is>
      </c>
      <c r="B180" s="14" t="inlineStr">
        <is>
          <t>TC-SS-07</t>
        </is>
      </c>
      <c r="C180" s="19" t="inlineStr">
        <is>
          <t>P2</t>
        </is>
      </c>
      <c r="D180" s="13" t="inlineStr">
        <is>
          <t>Sisakan satu pesanan belum selesai, tunggu 10 menit</t>
        </is>
      </c>
      <c r="E180" s="13" t="inlineStr">
        <is>
          <t>Sesinya tetap terbuka</t>
        </is>
      </c>
      <c r="F180" s="13" t="inlineStr">
        <is>
          <t>F-SS-07</t>
        </is>
      </c>
      <c r="G180" s="13" t="inlineStr"/>
      <c r="H180" s="13" t="inlineStr"/>
      <c r="I180" s="13" t="inlineStr"/>
    </row>
    <row r="181">
      <c r="A181" s="16" t="inlineStr">
        <is>
          <t>Tampilan</t>
        </is>
      </c>
      <c r="B181" s="17" t="inlineStr">
        <is>
          <t>TC-TM-01</t>
        </is>
      </c>
      <c r="C181" s="22" t="inlineStr">
        <is>
          <t>P3</t>
        </is>
      </c>
      <c r="D181" s="16" t="inlineStr">
        <is>
          <t>Ganti tema dari halaman awal, sebelum masuk</t>
        </is>
      </c>
      <c r="E181" s="16" t="inlineStr">
        <is>
          <t>Berlaku seketika</t>
        </is>
      </c>
      <c r="F181" s="16" t="inlineStr">
        <is>
          <t>F-TM-01, F-TM-02</t>
        </is>
      </c>
      <c r="G181" s="16" t="inlineStr"/>
      <c r="H181" s="16" t="inlineStr"/>
      <c r="I181" s="16" t="inlineStr"/>
    </row>
    <row r="182">
      <c r="A182" s="13" t="inlineStr">
        <is>
          <t>Tampilan</t>
        </is>
      </c>
      <c r="B182" s="14" t="inlineStr">
        <is>
          <t>TC-TM-02</t>
        </is>
      </c>
      <c r="C182" s="21" t="inlineStr">
        <is>
          <t>P3</t>
        </is>
      </c>
      <c r="D182" s="13" t="inlineStr">
        <is>
          <t>Ganti tema dari tiap peran: Kasir, Chef, Admin, Finance, Owner, Pelanggan</t>
        </is>
      </c>
      <c r="E182" s="13" t="inlineStr">
        <is>
          <t>Tersedia dan bekerja di semuanya</t>
        </is>
      </c>
      <c r="F182" s="13" t="inlineStr">
        <is>
          <t>F-TM-02</t>
        </is>
      </c>
      <c r="G182" s="13" t="inlineStr"/>
      <c r="H182" s="13" t="inlineStr"/>
      <c r="I182" s="13" t="inlineStr"/>
    </row>
    <row r="183">
      <c r="A183" s="16" t="inlineStr">
        <is>
          <t>Tampilan</t>
        </is>
      </c>
      <c r="B183" s="17" t="inlineStr">
        <is>
          <t>TC-TM-03</t>
        </is>
      </c>
      <c r="C183" s="22" t="inlineStr">
        <is>
          <t>P3</t>
        </is>
      </c>
      <c r="D183" s="16" t="inlineStr">
        <is>
          <t>Pilih Ikuti HP, ubah tema sistem Android</t>
        </is>
      </c>
      <c r="E183" s="16" t="inlineStr">
        <is>
          <t>Aplikasi mengikuti tanpa dibuka ulang</t>
        </is>
      </c>
      <c r="F183" s="16" t="inlineStr">
        <is>
          <t>F-TM-01</t>
        </is>
      </c>
      <c r="G183" s="16" t="inlineStr"/>
      <c r="H183" s="16" t="inlineStr"/>
      <c r="I183" s="16" t="inlineStr"/>
    </row>
    <row r="184">
      <c r="A184" s="13" t="inlineStr">
        <is>
          <t>Tampilan</t>
        </is>
      </c>
      <c r="B184" s="14" t="inlineStr">
        <is>
          <t>TC-TM-04</t>
        </is>
      </c>
      <c r="C184" s="21" t="inlineStr">
        <is>
          <t>P3</t>
        </is>
      </c>
      <c r="D184" s="13" t="inlineStr">
        <is>
          <t>Pilih Gelap, tutup aplikasi, buka lagi</t>
        </is>
      </c>
      <c r="E184" s="13" t="inlineStr">
        <is>
          <t>Tetap gelap</t>
        </is>
      </c>
      <c r="F184" s="13" t="inlineStr">
        <is>
          <t>F-TM-03</t>
        </is>
      </c>
      <c r="G184" s="13" t="inlineStr"/>
      <c r="H184" s="13" t="inlineStr"/>
      <c r="I184" s="13" t="inlineStr"/>
    </row>
    <row r="185">
      <c r="A185" s="16" t="inlineStr">
        <is>
          <t>Tampilan</t>
        </is>
      </c>
      <c r="B185" s="17" t="inlineStr">
        <is>
          <t>TC-TM-05</t>
        </is>
      </c>
      <c r="C185" s="20" t="inlineStr">
        <is>
          <t>P2</t>
        </is>
      </c>
      <c r="D185" s="16" t="inlineStr">
        <is>
          <t>Telusuri seluruh layar dalam mode gelap</t>
        </is>
      </c>
      <c r="E185" s="16" t="inlineStr">
        <is>
          <t>Tidak ada tulisan yang hilang di latarnya; kartu selalu lebih terang daripada latar</t>
        </is>
      </c>
      <c r="F185" s="16" t="inlineStr">
        <is>
          <t>A-18</t>
        </is>
      </c>
      <c r="G185" s="16" t="inlineStr"/>
      <c r="H185" s="16" t="inlineStr"/>
      <c r="I185" s="16" t="inlineStr"/>
    </row>
    <row r="186">
      <c r="A186" s="13" t="inlineStr">
        <is>
          <t>Tampilan</t>
        </is>
      </c>
      <c r="B186" s="14" t="inlineStr">
        <is>
          <t>TC-TM-06</t>
        </is>
      </c>
      <c r="C186" s="19" t="inlineStr">
        <is>
          <t>P2</t>
        </is>
      </c>
      <c r="D186" s="13" t="inlineStr">
        <is>
          <t>Hal yang sama dalam mode terang</t>
        </is>
      </c>
      <c r="E186" s="13" t="inlineStr">
        <is>
          <t>Sama</t>
        </is>
      </c>
      <c r="F186" s="13" t="inlineStr">
        <is>
          <t>A-18</t>
        </is>
      </c>
      <c r="G186" s="13" t="inlineStr"/>
      <c r="H186" s="13" t="inlineStr"/>
      <c r="I186" s="13" t="inlineStr"/>
    </row>
    <row r="187">
      <c r="A187" s="16" t="inlineStr">
        <is>
          <t>Tampilan</t>
        </is>
      </c>
      <c r="B187" s="17" t="inlineStr">
        <is>
          <t>TC-TM-07</t>
        </is>
      </c>
      <c r="C187" s="22" t="inlineStr">
        <is>
          <t>P3</t>
        </is>
      </c>
      <c r="D187" s="16" t="inlineStr">
        <is>
          <t>Perkecil lebar layar / perangkat sempit</t>
        </is>
      </c>
      <c r="E187" s="16" t="inlineStr">
        <is>
          <t>Pilihan tema menyusut jadi ikon saja</t>
        </is>
      </c>
      <c r="F187" s="16" t="inlineStr">
        <is>
          <t>F-TM-04</t>
        </is>
      </c>
      <c r="G187" s="16" t="inlineStr"/>
      <c r="H187" s="16" t="inlineStr"/>
      <c r="I187" s="16" t="inlineStr"/>
    </row>
    <row r="188">
      <c r="A188" s="13" t="inlineStr">
        <is>
          <t>Tampilan</t>
        </is>
      </c>
      <c r="B188" s="14" t="inlineStr">
        <is>
          <t>TC-TM-08</t>
        </is>
      </c>
      <c r="C188" s="21" t="inlineStr">
        <is>
          <t>P3</t>
        </is>
      </c>
      <c r="D188" s="13" t="inlineStr">
        <is>
          <t>Buka daftar panjang mana pun sampai ujung bawah</t>
        </is>
      </c>
      <c r="E188" s="13" t="inlineStr">
        <is>
          <t>Tombol aksi tidak menutupi baris terakhir</t>
        </is>
      </c>
      <c r="F188" s="13" t="inlineStr">
        <is>
          <t>A-11</t>
        </is>
      </c>
      <c r="G188" s="13" t="inlineStr"/>
      <c r="H188" s="13" t="inlineStr"/>
      <c r="I188" s="13" t="inlineStr"/>
    </row>
    <row r="189">
      <c r="A189" s="16" t="inlineStr">
        <is>
          <t>Tampilan</t>
        </is>
      </c>
      <c r="B189" s="17" t="inlineStr">
        <is>
          <t>TC-TM-09</t>
        </is>
      </c>
      <c r="C189" s="20" t="inlineStr">
        <is>
          <t>P2</t>
        </is>
      </c>
      <c r="D189" s="16" t="inlineStr">
        <is>
          <t>Buka menu utama Kasir, Admin, Finance, Super Admin, Owner</t>
        </is>
      </c>
      <c r="E189" s="16" t="inlineStr">
        <is>
          <t>Menunya berkelompok berikut judul tiap kelompok</t>
        </is>
      </c>
      <c r="F189" s="16" t="inlineStr">
        <is>
          <t>F-TM-05</t>
        </is>
      </c>
      <c r="G189" s="16" t="inlineStr"/>
      <c r="H189" s="16" t="inlineStr"/>
      <c r="I189" s="16" t="inlineStr"/>
    </row>
    <row r="190">
      <c r="A190" s="13" t="inlineStr">
        <is>
          <t>Tampilan</t>
        </is>
      </c>
      <c r="B190" s="14" t="inlineStr">
        <is>
          <t>TC-TM-10</t>
        </is>
      </c>
      <c r="C190" s="19" t="inlineStr">
        <is>
          <t>P2</t>
        </is>
      </c>
      <c r="D190" s="13" t="inlineStr">
        <is>
          <t>Hitung menu di tiap peran, bandingkan dengan sebelum dikelompokkan</t>
        </is>
      </c>
      <c r="E190" s="13" t="inlineStr">
        <is>
          <t>Tidak ada satu pun yang hilang</t>
        </is>
      </c>
      <c r="F190" s="13" t="inlineStr">
        <is>
          <t>F-TM-05</t>
        </is>
      </c>
      <c r="G190" s="13" t="inlineStr"/>
      <c r="H190" s="13" t="inlineStr"/>
      <c r="I190" s="13" t="inlineStr"/>
    </row>
    <row r="191">
      <c r="A191" s="16" t="inlineStr">
        <is>
          <t>Tampilan</t>
        </is>
      </c>
      <c r="B191" s="17" t="inlineStr">
        <is>
          <t>TC-TM-11</t>
        </is>
      </c>
      <c r="C191" s="22" t="inlineStr">
        <is>
          <t>P3</t>
        </is>
      </c>
      <c r="D191" s="16" t="inlineStr">
        <is>
          <t>Buka di layar lebar / tablet</t>
        </is>
      </c>
      <c r="E191" s="16" t="inlineStr">
        <is>
          <t>Judul kelompok selebar layar, bukan terjepit selebar satu kartu</t>
        </is>
      </c>
      <c r="F191" s="16" t="inlineStr">
        <is>
          <t>F-TM-06</t>
        </is>
      </c>
      <c r="G191" s="16" t="inlineStr"/>
      <c r="H191" s="16" t="inlineStr"/>
      <c r="I191" s="16" t="inlineStr"/>
    </row>
    <row r="192">
      <c r="A192" s="13" t="inlineStr">
        <is>
          <t>Tampilan</t>
        </is>
      </c>
      <c r="B192" s="14" t="inlineStr">
        <is>
          <t>TC-TM-12</t>
        </is>
      </c>
      <c r="C192" s="21" t="inlineStr">
        <is>
          <t>P3</t>
        </is>
      </c>
      <c r="D192" s="13" t="inlineStr">
        <is>
          <t>Periksa nama kelompok lintas peran</t>
        </is>
      </c>
      <c r="E192" s="13" t="inlineStr">
        <is>
          <t>"Keuangan" di Admin dan di Owner terbaca sama</t>
        </is>
      </c>
      <c r="F192" s="13" t="inlineStr">
        <is>
          <t>F-TM-05</t>
        </is>
      </c>
      <c r="G192" s="13" t="inlineStr"/>
      <c r="H192" s="13" t="inlineStr"/>
      <c r="I192" s="13" t="inlineStr"/>
    </row>
    <row r="193">
      <c r="A193" s="16" t="inlineStr">
        <is>
          <t>Super Admin</t>
        </is>
      </c>
      <c r="B193" s="17" t="inlineStr">
        <is>
          <t>TC-SA-01</t>
        </is>
      </c>
      <c r="C193" s="20" t="inlineStr">
        <is>
          <t>P2</t>
        </is>
      </c>
      <c r="D193" s="16" t="inlineStr">
        <is>
          <t>Buka List Resto</t>
        </is>
      </c>
      <c r="E193" s="16" t="inlineStr">
        <is>
          <t>Seluruh resto terdaftar tampil</t>
        </is>
      </c>
      <c r="F193" s="16" t="inlineStr">
        <is>
          <t>F-SA-01</t>
        </is>
      </c>
      <c r="G193" s="16" t="inlineStr"/>
      <c r="H193" s="16" t="inlineStr"/>
      <c r="I193" s="16" t="inlineStr"/>
    </row>
    <row r="194">
      <c r="A194" s="13" t="inlineStr">
        <is>
          <t>Super Admin</t>
        </is>
      </c>
      <c r="B194" s="14" t="inlineStr">
        <is>
          <t>TC-SA-02</t>
        </is>
      </c>
      <c r="C194" s="19" t="inlineStr">
        <is>
          <t>P2</t>
        </is>
      </c>
      <c r="D194" s="13" t="inlineStr">
        <is>
          <t>Kelola karyawan lintas resto, ubah perannya</t>
        </is>
      </c>
      <c r="E194" s="13" t="inlineStr">
        <is>
          <t>Perubahan berlaku; karyawan itu melihat menu sesuai peran barunya</t>
        </is>
      </c>
      <c r="F194" s="13" t="inlineStr">
        <is>
          <t>F-SA-02</t>
        </is>
      </c>
      <c r="G194" s="13" t="inlineStr"/>
      <c r="H194" s="13" t="inlineStr"/>
      <c r="I194" s="13" t="inlineStr"/>
    </row>
    <row r="195">
      <c r="A195" s="16" t="inlineStr">
        <is>
          <t>Super Admin</t>
        </is>
      </c>
      <c r="B195" s="17" t="inlineStr">
        <is>
          <t>TC-SA-03</t>
        </is>
      </c>
      <c r="C195" s="18" t="inlineStr">
        <is>
          <t>P1</t>
        </is>
      </c>
      <c r="D195" s="16" t="inlineStr">
        <is>
          <t>Kirim pengumuman versi aplikasi</t>
        </is>
      </c>
      <c r="E195" s="16" t="inlineStr">
        <is>
          <t>Sampai ke seluruh pengguna, di semua resto</t>
        </is>
      </c>
      <c r="F195" s="16" t="inlineStr">
        <is>
          <t>F-SA-03, F-IN-07</t>
        </is>
      </c>
      <c r="G195" s="16" t="inlineStr"/>
      <c r="H195" s="16" t="inlineStr"/>
      <c r="I195" s="16" t="inlineStr"/>
    </row>
    <row r="196">
      <c r="A196" s="13" t="inlineStr">
        <is>
          <t>Super Admin</t>
        </is>
      </c>
      <c r="B196" s="14" t="inlineStr">
        <is>
          <t>TC-SA-04</t>
        </is>
      </c>
      <c r="C196" s="15" t="inlineStr">
        <is>
          <t>P1</t>
        </is>
      </c>
      <c r="D196" s="13" t="inlineStr">
        <is>
          <t>Buka layar Kirim Pengumuman sebagai Admin resto</t>
        </is>
      </c>
      <c r="E196" s="13" t="inlineStr">
        <is>
          <t>Pilihan kategori Update Aplikasi tidak tersedia</t>
        </is>
      </c>
      <c r="F196" s="13" t="inlineStr">
        <is>
          <t>F-SA-03, F-IN-08</t>
        </is>
      </c>
      <c r="G196" s="13" t="inlineStr"/>
      <c r="H196" s="13" t="inlineStr"/>
      <c r="I196" s="13" t="inlineStr"/>
    </row>
    <row r="197">
      <c r="A197" s="16" t="inlineStr">
        <is>
          <t>Super Admin</t>
        </is>
      </c>
      <c r="B197" s="17" t="inlineStr">
        <is>
          <t>TC-SA-05</t>
        </is>
      </c>
      <c r="C197" s="20" t="inlineStr">
        <is>
          <t>P2</t>
        </is>
      </c>
      <c r="D197" s="16" t="inlineStr">
        <is>
          <t>Kirim pengumuman umum ke seluruh resto</t>
        </is>
      </c>
      <c r="E197" s="16" t="inlineStr">
        <is>
          <t>Muncul di kotak masuk semua resto</t>
        </is>
      </c>
      <c r="F197" s="16" t="inlineStr">
        <is>
          <t>F-SA-04</t>
        </is>
      </c>
      <c r="G197" s="16" t="inlineStr"/>
      <c r="H197" s="16" t="inlineStr"/>
      <c r="I197" s="16" t="inlineStr"/>
    </row>
    <row r="198">
      <c r="A198" s="13" t="inlineStr">
        <is>
          <t>Super Admin</t>
        </is>
      </c>
      <c r="B198" s="14" t="inlineStr">
        <is>
          <t>TC-SA-06</t>
        </is>
      </c>
      <c r="C198" s="19" t="inlineStr">
        <is>
          <t>P2</t>
        </is>
      </c>
      <c r="D198" s="13" t="inlineStr">
        <is>
          <t>Telusuri menu Super Admin</t>
        </is>
      </c>
      <c r="E198" s="13" t="inlineStr">
        <is>
          <t>Tidak ada layar kasir, dapur, maupun keuangan resto</t>
        </is>
      </c>
      <c r="F198" s="13" t="inlineStr">
        <is>
          <t>F-SA-06</t>
        </is>
      </c>
      <c r="G198" s="13" t="inlineStr"/>
      <c r="H198" s="13" t="inlineStr"/>
      <c r="I198" s="13" t="inlineStr"/>
    </row>
    <row r="199">
      <c r="A199" s="16" t="inlineStr">
        <is>
          <t>Super Admin</t>
        </is>
      </c>
      <c r="B199" s="17" t="inlineStr">
        <is>
          <t>TC-SA-07</t>
        </is>
      </c>
      <c r="C199" s="18" t="inlineStr">
        <is>
          <t>P1</t>
        </is>
      </c>
      <c r="D199" s="16" t="inlineStr">
        <is>
          <t>List Resto → hapus sebuah resto</t>
        </is>
      </c>
      <c r="E199" s="16" t="inlineStr">
        <is>
          <t>Hilang dari daftar; datanya tidak dibuang</t>
        </is>
      </c>
      <c r="F199" s="16" t="inlineStr">
        <is>
          <t>F-SA-07</t>
        </is>
      </c>
      <c r="G199" s="16" t="inlineStr"/>
      <c r="H199" s="16" t="inlineStr"/>
      <c r="I199" s="16" t="inlineStr"/>
    </row>
    <row r="200">
      <c r="A200" s="13" t="inlineStr">
        <is>
          <t>Super Admin</t>
        </is>
      </c>
      <c r="B200" s="14" t="inlineStr">
        <is>
          <t>TC-SA-08</t>
        </is>
      </c>
      <c r="C200" s="15" t="inlineStr">
        <is>
          <t>P1</t>
        </is>
      </c>
      <c r="D200" s="13" t="inlineStr">
        <is>
          <t>Buka Pilih Resto sebagai pelanggan</t>
        </is>
      </c>
      <c r="E200" s="13" t="inlineStr">
        <is>
          <t>Resto terhapus tidak muncul</t>
        </is>
      </c>
      <c r="F200" s="13" t="inlineStr">
        <is>
          <t>F-SA-10</t>
        </is>
      </c>
      <c r="G200" s="13" t="inlineStr"/>
      <c r="H200" s="13" t="inlineStr"/>
      <c r="I200" s="13" t="inlineStr"/>
    </row>
    <row r="201">
      <c r="A201" s="16" t="inlineStr">
        <is>
          <t>Super Admin</t>
        </is>
      </c>
      <c r="B201" s="17" t="inlineStr">
        <is>
          <t>TC-SA-09</t>
        </is>
      </c>
      <c r="C201" s="18" t="inlineStr">
        <is>
          <t>P1</t>
        </is>
      </c>
      <c r="D201" s="16" t="inlineStr">
        <is>
          <t>Pindai QR meja resto yang sudah dihapus, coba pesan</t>
        </is>
      </c>
      <c r="E201" s="16" t="inlineStr">
        <is>
          <t>Ditolak database, bukan hanya disembunyikan layarnya</t>
        </is>
      </c>
      <c r="F201" s="16" t="inlineStr">
        <is>
          <t>F-SA-10</t>
        </is>
      </c>
      <c r="G201" s="16" t="inlineStr"/>
      <c r="H201" s="16" t="inlineStr"/>
      <c r="I201" s="16" t="inlineStr"/>
    </row>
    <row r="202">
      <c r="A202" s="13" t="inlineStr">
        <is>
          <t>Super Admin</t>
        </is>
      </c>
      <c r="B202" s="14" t="inlineStr">
        <is>
          <t>TC-SA-10</t>
        </is>
      </c>
      <c r="C202" s="15" t="inlineStr">
        <is>
          <t>P1</t>
        </is>
      </c>
      <c r="D202" s="13" t="inlineStr">
        <is>
          <t>Coba ubah harga produk resto terhapus</t>
        </is>
      </c>
      <c r="E202" s="13" t="inlineStr">
        <is>
          <t>Ditolak</t>
        </is>
      </c>
      <c r="F202" s="13" t="inlineStr">
        <is>
          <t>F-SA-10</t>
        </is>
      </c>
      <c r="G202" s="13" t="inlineStr"/>
      <c r="H202" s="13" t="inlineStr"/>
      <c r="I202" s="13" t="inlineStr"/>
    </row>
    <row r="203">
      <c r="A203" s="16" t="inlineStr">
        <is>
          <t>Super Admin</t>
        </is>
      </c>
      <c r="B203" s="17" t="inlineStr">
        <is>
          <t>TC-SA-11</t>
        </is>
      </c>
      <c r="C203" s="18" t="inlineStr">
        <is>
          <t>P1</t>
        </is>
      </c>
      <c r="D203" s="16" t="inlineStr">
        <is>
          <t>Terbitkan tagihan setelah resto dihapus</t>
        </is>
      </c>
      <c r="E203" s="16" t="inlineStr">
        <is>
          <t>Tidak ada tagihan baru untuk resto itu</t>
        </is>
      </c>
      <c r="F203" s="16" t="inlineStr">
        <is>
          <t>F-SA-11</t>
        </is>
      </c>
      <c r="G203" s="16" t="inlineStr"/>
      <c r="H203" s="16" t="inlineStr"/>
      <c r="I203" s="16" t="inlineStr"/>
    </row>
    <row r="204">
      <c r="A204" s="13" t="inlineStr">
        <is>
          <t>Super Admin</t>
        </is>
      </c>
      <c r="B204" s="14" t="inlineStr">
        <is>
          <t>TC-SA-12</t>
        </is>
      </c>
      <c r="C204" s="15" t="inlineStr">
        <is>
          <t>P1</t>
        </is>
      </c>
      <c r="D204" s="13" t="inlineStr">
        <is>
          <t>Periksa tagihan lama resto terhapus</t>
        </is>
      </c>
      <c r="E204" s="13" t="inlineStr">
        <is>
          <t>Masih ada dan bisa ditelusuri</t>
        </is>
      </c>
      <c r="F204" s="13" t="inlineStr">
        <is>
          <t>F-SA-11</t>
        </is>
      </c>
      <c r="G204" s="13" t="inlineStr"/>
      <c r="H204" s="13" t="inlineStr"/>
      <c r="I204" s="13" t="inlineStr"/>
    </row>
    <row r="205">
      <c r="A205" s="16" t="inlineStr">
        <is>
          <t>Super Admin</t>
        </is>
      </c>
      <c r="B205" s="17" t="inlineStr">
        <is>
          <t>TC-SA-13</t>
        </is>
      </c>
      <c r="C205" s="20" t="inlineStr">
        <is>
          <t>P2</t>
        </is>
      </c>
      <c r="D205" s="16" t="inlineStr">
        <is>
          <t>Nyalakan saklar Tampilkan yang dihapus</t>
        </is>
      </c>
      <c r="E205" s="16" t="inlineStr">
        <is>
          <t>Resto terhapus muncul, hanya dengan tombol Kembalikan</t>
        </is>
      </c>
      <c r="F205" s="16" t="inlineStr">
        <is>
          <t>F-SA-09</t>
        </is>
      </c>
      <c r="G205" s="16" t="inlineStr"/>
      <c r="H205" s="16" t="inlineStr"/>
      <c r="I205" s="16" t="inlineStr"/>
    </row>
    <row r="206">
      <c r="A206" s="13" t="inlineStr">
        <is>
          <t>Super Admin</t>
        </is>
      </c>
      <c r="B206" s="14" t="inlineStr">
        <is>
          <t>TC-SA-14</t>
        </is>
      </c>
      <c r="C206" s="15" t="inlineStr">
        <is>
          <t>P1</t>
        </is>
      </c>
      <c r="D206" s="13" t="inlineStr">
        <is>
          <t>Ketuk Kembalikan</t>
        </is>
      </c>
      <c r="E206" s="13" t="inlineStr">
        <is>
          <t>Kembali ke daftar, tapi belum aktif — harus dinyalakan sendiri</t>
        </is>
      </c>
      <c r="F206" s="13" t="inlineStr">
        <is>
          <t>F-SA-08</t>
        </is>
      </c>
      <c r="G206" s="13" t="inlineStr"/>
      <c r="H206" s="13" t="inlineStr"/>
      <c r="I206" s="13" t="inlineStr"/>
    </row>
    <row r="207">
      <c r="A207" s="16" t="inlineStr">
        <is>
          <t>Super Admin</t>
        </is>
      </c>
      <c r="B207" s="17" t="inlineStr">
        <is>
          <t>TC-SA-15</t>
        </is>
      </c>
      <c r="C207" s="18" t="inlineStr">
        <is>
          <t>P1</t>
        </is>
      </c>
      <c r="D207" s="16" t="inlineStr">
        <is>
          <t>Coba hapus penyewa platform (KaataGo)</t>
        </is>
      </c>
      <c r="E207" s="16" t="inlineStr">
        <is>
          <t>Ditolak</t>
        </is>
      </c>
      <c r="F207" s="16" t="inlineStr">
        <is>
          <t>TSD §7.4</t>
        </is>
      </c>
      <c r="G207" s="16" t="inlineStr"/>
      <c r="H207" s="16" t="inlineStr"/>
      <c r="I207" s="16" t="inlineStr"/>
    </row>
    <row r="208">
      <c r="A208" s="13" t="inlineStr">
        <is>
          <t>Super Admin</t>
        </is>
      </c>
      <c r="B208" s="14" t="inlineStr">
        <is>
          <t>TC-SA-16</t>
        </is>
      </c>
      <c r="C208" s="15" t="inlineStr">
        <is>
          <t>P1</t>
        </is>
      </c>
      <c r="D208" s="13" t="inlineStr">
        <is>
          <t>Coba set_resto_deleted sebagai Owner resto</t>
        </is>
      </c>
      <c r="E208" s="13" t="inlineStr">
        <is>
          <t>Ditolak — hanya Super Admin</t>
        </is>
      </c>
      <c r="F208" s="13" t="inlineStr">
        <is>
          <t>F-SA-07</t>
        </is>
      </c>
      <c r="G208" s="13" t="inlineStr"/>
      <c r="H208" s="13" t="inlineStr"/>
      <c r="I208" s="13" t="inlineStr"/>
    </row>
    <row r="209">
      <c r="A209" s="16" t="inlineStr">
        <is>
          <t>Super Admin</t>
        </is>
      </c>
      <c r="B209" s="17" t="inlineStr">
        <is>
          <t>TC-SA-17</t>
        </is>
      </c>
      <c r="C209" s="20" t="inlineStr">
        <is>
          <t>P2</t>
        </is>
      </c>
      <c r="D209" s="16" t="inlineStr">
        <is>
          <t>Periksa baris resto terhapus di database</t>
        </is>
      </c>
      <c r="E209" s="16" t="inlineStr">
        <is>
          <t>deleted_by dan deleted_at terisi</t>
        </is>
      </c>
      <c r="F209" s="16" t="inlineStr">
        <is>
          <t>F-SA-12</t>
        </is>
      </c>
      <c r="G209" s="16" t="inlineStr"/>
      <c r="H209" s="16" t="inlineStr"/>
      <c r="I209" s="16" t="inlineStr"/>
    </row>
    <row r="210">
      <c r="A210" s="13" t="inlineStr">
        <is>
          <t>Pembaruan Aplikasi</t>
        </is>
      </c>
      <c r="B210" s="14" t="inlineStr">
        <is>
          <t>TC-UP-01</t>
        </is>
      </c>
      <c r="C210" s="19" t="inlineStr">
        <is>
          <t>P2</t>
        </is>
      </c>
      <c r="D210" s="13" t="inlineStr">
        <is>
          <t>Buka pengumuman versi → Unduh Versi Terbaru</t>
        </is>
      </c>
      <c r="E210" s="13" t="inlineStr">
        <is>
          <t>Unduhan mulai di dalam aplikasi, tidak membuka peramban</t>
        </is>
      </c>
      <c r="F210" s="13" t="inlineStr">
        <is>
          <t>F-UP-01, F-UP-02</t>
        </is>
      </c>
      <c r="G210" s="13" t="inlineStr"/>
      <c r="H210" s="13" t="inlineStr"/>
      <c r="I210" s="13" t="inlineStr"/>
    </row>
    <row r="211">
      <c r="A211" s="16" t="inlineStr">
        <is>
          <t>Pembaruan Aplikasi</t>
        </is>
      </c>
      <c r="B211" s="17" t="inlineStr">
        <is>
          <t>TC-UP-02</t>
        </is>
      </c>
      <c r="C211" s="20" t="inlineStr">
        <is>
          <t>P2</t>
        </is>
      </c>
      <c r="D211" s="16" t="inlineStr">
        <is>
          <t>Perhatikan bar notifikasi HP</t>
        </is>
      </c>
      <c r="E211" s="16" t="inlineStr">
        <is>
          <t>Kemajuannya tampil berikut persennya</t>
        </is>
      </c>
      <c r="F211" s="16" t="inlineStr">
        <is>
          <t>F-UP-03</t>
        </is>
      </c>
      <c r="G211" s="16" t="inlineStr"/>
      <c r="H211" s="16" t="inlineStr"/>
      <c r="I211" s="16" t="inlineStr"/>
    </row>
    <row r="212">
      <c r="A212" s="13" t="inlineStr">
        <is>
          <t>Pembaruan Aplikasi</t>
        </is>
      </c>
      <c r="B212" s="14" t="inlineStr">
        <is>
          <t>TC-UP-03</t>
        </is>
      </c>
      <c r="C212" s="19" t="inlineStr">
        <is>
          <t>P2</t>
        </is>
      </c>
      <c r="D212" s="13" t="inlineStr">
        <is>
          <t>Kunci HP saat unduhan berjalan, tunggu, buka lagi</t>
        </is>
      </c>
      <c r="E212" s="13" t="inlineStr">
        <is>
          <t>Unduhannya lanjut, tidak mengulang dari nol</t>
        </is>
      </c>
      <c r="F212" s="13" t="inlineStr">
        <is>
          <t>F-UP-04</t>
        </is>
      </c>
      <c r="G212" s="13" t="inlineStr"/>
      <c r="H212" s="13" t="inlineStr"/>
      <c r="I212" s="13" t="inlineStr"/>
    </row>
    <row r="213">
      <c r="A213" s="16" t="inlineStr">
        <is>
          <t>Pembaruan Aplikasi</t>
        </is>
      </c>
      <c r="B213" s="17" t="inlineStr">
        <is>
          <t>TC-UP-04</t>
        </is>
      </c>
      <c r="C213" s="20" t="inlineStr">
        <is>
          <t>P2</t>
        </is>
      </c>
      <c r="D213" s="16" t="inlineStr">
        <is>
          <t>Tekan tombol unduh lagi saat unduhan berjalan</t>
        </is>
      </c>
      <c r="E213" s="16" t="inlineStr">
        <is>
          <t>Muncul pilihan Batalkan atau Lanjutkan</t>
        </is>
      </c>
      <c r="F213" s="16" t="inlineStr">
        <is>
          <t>F-UP-05, F-IN-18</t>
        </is>
      </c>
      <c r="G213" s="16" t="inlineStr"/>
      <c r="H213" s="16" t="inlineStr"/>
      <c r="I213" s="16" t="inlineStr"/>
    </row>
    <row r="214">
      <c r="A214" s="13" t="inlineStr">
        <is>
          <t>Pembaruan Aplikasi</t>
        </is>
      </c>
      <c r="B214" s="14" t="inlineStr">
        <is>
          <t>TC-UP-05</t>
        </is>
      </c>
      <c r="C214" s="19" t="inlineStr">
        <is>
          <t>P2</t>
        </is>
      </c>
      <c r="D214" s="13" t="inlineStr">
        <is>
          <t>Pilih Batalkan</t>
        </is>
      </c>
      <c r="E214" s="13" t="inlineStr">
        <is>
          <t>Unduhan berhenti; tidak ditampilkan sebagai galat</t>
        </is>
      </c>
      <c r="F214" s="13" t="inlineStr">
        <is>
          <t>F-IN-19</t>
        </is>
      </c>
      <c r="G214" s="13" t="inlineStr"/>
      <c r="H214" s="13" t="inlineStr"/>
      <c r="I214" s="13" t="inlineStr"/>
    </row>
    <row r="215">
      <c r="A215" s="16" t="inlineStr">
        <is>
          <t>Pembaruan Aplikasi</t>
        </is>
      </c>
      <c r="B215" s="17" t="inlineStr">
        <is>
          <t>TC-UP-06</t>
        </is>
      </c>
      <c r="C215" s="20" t="inlineStr">
        <is>
          <t>P2</t>
        </is>
      </c>
      <c r="D215" s="16" t="inlineStr">
        <is>
          <t>Biarkan unduhan selesai</t>
        </is>
      </c>
      <c r="E215" s="16" t="inlineStr">
        <is>
          <t>Notifikasi "ketuk untuk memasang"; pemasang Android terbuka</t>
        </is>
      </c>
      <c r="F215" s="16" t="inlineStr">
        <is>
          <t>F-UP-06, F-IN-17</t>
        </is>
      </c>
      <c r="G215" s="16" t="inlineStr"/>
      <c r="H215" s="16" t="inlineStr"/>
      <c r="I215" s="16" t="inlineStr"/>
    </row>
    <row r="216">
      <c r="A216" s="13" t="inlineStr">
        <is>
          <t>Pembaruan Aplikasi</t>
        </is>
      </c>
      <c r="B216" s="14" t="inlineStr">
        <is>
          <t>TC-UP-07</t>
        </is>
      </c>
      <c r="C216" s="19" t="inlineStr">
        <is>
          <t>P2</t>
        </is>
      </c>
      <c r="D216" s="13" t="inlineStr">
        <is>
          <t>Matikan data seluler di tengah unduhan</t>
        </is>
      </c>
      <c r="E216" s="13" t="inlineStr">
        <is>
          <t>Pesannya menyebut masalah koneksi, satu kalimat, tanpa isi galat mentah</t>
        </is>
      </c>
      <c r="F216" s="13" t="inlineStr">
        <is>
          <t>F-UP-07, F-IN-19</t>
        </is>
      </c>
      <c r="G216" s="13" t="inlineStr"/>
      <c r="H216" s="13" t="inlineStr"/>
      <c r="I216" s="13" t="inlineStr"/>
    </row>
    <row r="217">
      <c r="A217" s="16" t="inlineStr">
        <is>
          <t>Pembaruan Aplikasi</t>
        </is>
      </c>
      <c r="B217" s="17" t="inlineStr">
        <is>
          <t>TC-UP-08</t>
        </is>
      </c>
      <c r="C217" s="22" t="inlineStr">
        <is>
          <t>P3</t>
        </is>
      </c>
      <c r="D217" s="16" t="inlineStr">
        <is>
          <t>Penuhi penyimpanan HP, lalu unduh</t>
        </is>
      </c>
      <c r="E217" s="16" t="inlineStr">
        <is>
          <t>Pesannya menyebut penyimpanan penuh — dibedakan dari masalah koneksi</t>
        </is>
      </c>
      <c r="F217" s="16" t="inlineStr">
        <is>
          <t>F-UP-07</t>
        </is>
      </c>
      <c r="G217" s="16" t="inlineStr"/>
      <c r="H217" s="16" t="inlineStr"/>
      <c r="I217" s="16" t="inlineStr"/>
    </row>
    <row r="218">
      <c r="A218" s="13" t="inlineStr">
        <is>
          <t>Pembaruan Aplikasi</t>
        </is>
      </c>
      <c r="B218" s="14" t="inlineStr">
        <is>
          <t>TC-UP-09</t>
        </is>
      </c>
      <c r="C218" s="21" t="inlineStr">
        <is>
          <t>P3</t>
        </is>
      </c>
      <c r="D218" s="13" t="inlineStr">
        <is>
          <t>Pakai jalur cadangan lewat peramban</t>
        </is>
      </c>
      <c r="E218" s="13" t="inlineStr">
        <is>
          <t>Berkasnya terunduh</t>
        </is>
      </c>
      <c r="F218" s="13" t="inlineStr">
        <is>
          <t>F-IN-06</t>
        </is>
      </c>
      <c r="G218" s="13" t="inlineStr"/>
      <c r="H218" s="13" t="inlineStr"/>
      <c r="I218" s="13" t="inlineStr"/>
    </row>
    <row r="219">
      <c r="A219" s="16" t="inlineStr">
        <is>
          <t>## 19b. Langganan &amp; Tagihan Resto</t>
        </is>
      </c>
      <c r="B219" s="17" t="inlineStr">
        <is>
          <t>TC-BL-01</t>
        </is>
      </c>
      <c r="C219" s="20" t="inlineStr">
        <is>
          <t>P2</t>
        </is>
      </c>
      <c r="D219" s="16" t="inlineStr">
        <is>
          <t>Super Admin → Billing Resto → atur harga dan tanggal untuk sebuah resto</t>
        </is>
      </c>
      <c r="E219" s="16" t="inlineStr">
        <is>
          <t>Tersimpan; kartu restonya menampilkan harga, tanggal, dan tenggangnya</t>
        </is>
      </c>
      <c r="F219" s="16" t="inlineStr">
        <is>
          <t>F-BL-01, F-BL-02</t>
        </is>
      </c>
      <c r="G219" s="16" t="inlineStr"/>
      <c r="H219" s="16" t="inlineStr"/>
      <c r="I219" s="16" t="inlineStr"/>
    </row>
    <row r="220">
      <c r="A220" s="13" t="inlineStr">
        <is>
          <t>## 19b. Langganan &amp; Tagihan Resto</t>
        </is>
      </c>
      <c r="B220" s="14" t="inlineStr">
        <is>
          <t>TC-BL-02</t>
        </is>
      </c>
      <c r="C220" s="19" t="inlineStr">
        <is>
          <t>P2</t>
        </is>
      </c>
      <c r="D220" s="13" t="inlineStr">
        <is>
          <t>Buat resto baru, buka Billing Resto</t>
        </is>
      </c>
      <c r="E220" s="13" t="inlineStr">
        <is>
          <t>Sudah punya barisnya sendiri, berstatus Gratis</t>
        </is>
      </c>
      <c r="F220" s="13" t="inlineStr">
        <is>
          <t>F-BL-06</t>
        </is>
      </c>
      <c r="G220" s="13" t="inlineStr"/>
      <c r="H220" s="13" t="inlineStr"/>
      <c r="I220" s="13" t="inlineStr"/>
    </row>
    <row r="221">
      <c r="A221" s="16" t="inlineStr">
        <is>
          <t>## 19b. Langganan &amp; Tagihan Resto</t>
        </is>
      </c>
      <c r="B221" s="17" t="inlineStr">
        <is>
          <t>TC-BL-03</t>
        </is>
      </c>
      <c r="C221" s="18" t="inlineStr">
        <is>
          <t>P1</t>
        </is>
      </c>
      <c r="D221" s="16" t="inlineStr">
        <is>
          <t>Setel harga Rp 0, lewatkan tanggal jatuh tempo jauh</t>
        </is>
      </c>
      <c r="E221" s="16" t="inlineStr">
        <is>
          <t>Tidak pernah terbit tagihan, tidak pernah terkunci</t>
        </is>
      </c>
      <c r="F221" s="16" t="inlineStr">
        <is>
          <t>F-BL-04</t>
        </is>
      </c>
      <c r="G221" s="16" t="inlineStr"/>
      <c r="H221" s="16" t="inlineStr"/>
      <c r="I221" s="16" t="inlineStr"/>
    </row>
    <row r="222">
      <c r="A222" s="13" t="inlineStr">
        <is>
          <t>## 19b. Langganan &amp; Tagihan Resto</t>
        </is>
      </c>
      <c r="B222" s="14" t="inlineStr">
        <is>
          <t>TC-BL-04</t>
        </is>
      </c>
      <c r="C222" s="15" t="inlineStr">
        <is>
          <t>P1</t>
        </is>
      </c>
      <c r="D222" s="13" t="inlineStr">
        <is>
          <t>Matikan saklar langganan pada resto berbayar yang menunggak</t>
        </is>
      </c>
      <c r="E222" s="13" t="inlineStr">
        <is>
          <t>Tidak terkunci</t>
        </is>
      </c>
      <c r="F222" s="13" t="inlineStr">
        <is>
          <t>F-BL-05</t>
        </is>
      </c>
      <c r="G222" s="13" t="inlineStr"/>
      <c r="H222" s="13" t="inlineStr"/>
      <c r="I222" s="13" t="inlineStr"/>
    </row>
    <row r="223">
      <c r="A223" s="16" t="inlineStr">
        <is>
          <t>## 19b. Langganan &amp; Tagihan Resto</t>
        </is>
      </c>
      <c r="B223" s="17" t="inlineStr">
        <is>
          <t>TC-BL-05</t>
        </is>
      </c>
      <c r="C223" s="20" t="inlineStr">
        <is>
          <t>P2</t>
        </is>
      </c>
      <c r="D223" s="16" t="inlineStr">
        <is>
          <t>Coba pilih tanggal tagihan 29, 30, atau 31</t>
        </is>
      </c>
      <c r="E223" s="16" t="inlineStr">
        <is>
          <t>Tidak tersedia di pilihan — hanya 1 sampai 28</t>
        </is>
      </c>
      <c r="F223" s="16" t="inlineStr">
        <is>
          <t>F-BL-02</t>
        </is>
      </c>
      <c r="G223" s="16" t="inlineStr"/>
      <c r="H223" s="16" t="inlineStr"/>
      <c r="I223" s="16" t="inlineStr"/>
    </row>
    <row r="224">
      <c r="A224" s="13" t="inlineStr">
        <is>
          <t>## 19b. Langganan &amp; Tagihan Resto</t>
        </is>
      </c>
      <c r="B224" s="14" t="inlineStr">
        <is>
          <t>TC-BL-06</t>
        </is>
      </c>
      <c r="C224" s="19" t="inlineStr">
        <is>
          <t>P2</t>
        </is>
      </c>
      <c r="D224" s="13" t="inlineStr">
        <is>
          <t>Ketuk Terbitkan tagihan sekarang dua kali beruntun</t>
        </is>
      </c>
      <c r="E224" s="13" t="inlineStr">
        <is>
          <t>Tagihan tetap satu untuk periode itu</t>
        </is>
      </c>
      <c r="F224" s="13" t="inlineStr">
        <is>
          <t>F-BL-08</t>
        </is>
      </c>
      <c r="G224" s="13" t="inlineStr"/>
      <c r="H224" s="13" t="inlineStr"/>
      <c r="I224" s="13" t="inlineStr"/>
    </row>
    <row r="225">
      <c r="A225" s="16" t="inlineStr">
        <is>
          <t>## 19b. Langganan &amp; Tagihan Resto</t>
        </is>
      </c>
      <c r="B225" s="17" t="inlineStr">
        <is>
          <t>TC-BL-07</t>
        </is>
      </c>
      <c r="C225" s="18" t="inlineStr">
        <is>
          <t>P1</t>
        </is>
      </c>
      <c r="D225" s="16" t="inlineStr">
        <is>
          <t>Setel jatuh tempo 3 hari lagi, buka aplikasi sebagai Kasir</t>
        </is>
      </c>
      <c r="E225" s="16" t="inlineStr">
        <is>
          <t>Pita pengingat tampil di atas layar; isi layarnya tetap bisa dipakai</t>
        </is>
      </c>
      <c r="F225" s="16" t="inlineStr">
        <is>
          <t>F-BL-09</t>
        </is>
      </c>
      <c r="G225" s="16" t="inlineStr"/>
      <c r="H225" s="16" t="inlineStr"/>
      <c r="I225" s="16" t="inlineStr"/>
    </row>
    <row r="226">
      <c r="A226" s="13" t="inlineStr">
        <is>
          <t>## 19b. Langganan &amp; Tagihan Resto</t>
        </is>
      </c>
      <c r="B226" s="14" t="inlineStr">
        <is>
          <t>TC-BL-08</t>
        </is>
      </c>
      <c r="C226" s="19" t="inlineStr">
        <is>
          <t>P2</t>
        </is>
      </c>
      <c r="D226" s="13" t="inlineStr">
        <is>
          <t>Setel jatuh tempo 4 hari lagi</t>
        </is>
      </c>
      <c r="E226" s="13" t="inlineStr">
        <is>
          <t>Pita belum tampil</t>
        </is>
      </c>
      <c r="F226" s="13" t="inlineStr">
        <is>
          <t>F-BL-09</t>
        </is>
      </c>
      <c r="G226" s="13" t="inlineStr"/>
      <c r="H226" s="13" t="inlineStr"/>
      <c r="I226" s="13" t="inlineStr"/>
    </row>
    <row r="227">
      <c r="A227" s="16" t="inlineStr">
        <is>
          <t>## 19b. Langganan &amp; Tagihan Resto</t>
        </is>
      </c>
      <c r="B227" s="17" t="inlineStr">
        <is>
          <t>TC-BL-09</t>
        </is>
      </c>
      <c r="C227" s="18" t="inlineStr">
        <is>
          <t>P1</t>
        </is>
      </c>
      <c r="D227" s="16" t="inlineStr">
        <is>
          <t>Lewati jatuh tempo, masih dalam tenggang</t>
        </is>
      </c>
      <c r="E227" s="16" t="inlineStr">
        <is>
          <t>Pita berubah merah; aplikasi belum terkunci</t>
        </is>
      </c>
      <c r="F227" s="16" t="inlineStr">
        <is>
          <t>F-BL-03, F-BL-10</t>
        </is>
      </c>
      <c r="G227" s="16" t="inlineStr"/>
      <c r="H227" s="16" t="inlineStr"/>
      <c r="I227" s="16" t="inlineStr"/>
    </row>
    <row r="228">
      <c r="A228" s="13" t="inlineStr">
        <is>
          <t>## 19b. Langganan &amp; Tagihan Resto</t>
        </is>
      </c>
      <c r="B228" s="14" t="inlineStr">
        <is>
          <t>TC-BL-10</t>
        </is>
      </c>
      <c r="C228" s="15" t="inlineStr">
        <is>
          <t>P1</t>
        </is>
      </c>
      <c r="D228" s="13" t="inlineStr">
        <is>
          <t>Lewati tenggang, tagihan belum dibayar</t>
        </is>
      </c>
      <c r="E228" s="13" t="inlineStr">
        <is>
          <t>Seluruh layar diganti halaman Aplikasi Terkunci Sementara</t>
        </is>
      </c>
      <c r="F228" s="13" t="inlineStr">
        <is>
          <t>F-BL-15</t>
        </is>
      </c>
      <c r="G228" s="13" t="inlineStr"/>
      <c r="H228" s="13" t="inlineStr"/>
      <c r="I228" s="13" t="inlineStr"/>
    </row>
    <row r="229">
      <c r="A229" s="16" t="inlineStr">
        <is>
          <t>## 19b. Langganan &amp; Tagihan Resto</t>
        </is>
      </c>
      <c r="B229" s="17" t="inlineStr">
        <is>
          <t>TC-BL-11</t>
        </is>
      </c>
      <c r="C229" s="18" t="inlineStr">
        <is>
          <t>P1</t>
        </is>
      </c>
      <c r="D229" s="16" t="inlineStr">
        <is>
          <t>Pada keadaan terkunci, coba buat pesanan lewat API langsung</t>
        </is>
      </c>
      <c r="E229" s="16" t="inlineStr">
        <is>
          <t>Ditolak database — bukan hanya layarnya yang menutup</t>
        </is>
      </c>
      <c r="F229" s="16" t="inlineStr">
        <is>
          <t>F-BL-18, TSD §7.3</t>
        </is>
      </c>
      <c r="G229" s="16" t="inlineStr"/>
      <c r="H229" s="16" t="inlineStr"/>
      <c r="I229" s="16" t="inlineStr"/>
    </row>
    <row r="230">
      <c r="A230" s="13" t="inlineStr">
        <is>
          <t>## 19b. Langganan &amp; Tagihan Resto</t>
        </is>
      </c>
      <c r="B230" s="14" t="inlineStr">
        <is>
          <t>TC-BL-12</t>
        </is>
      </c>
      <c r="C230" s="15" t="inlineStr">
        <is>
          <t>P1</t>
        </is>
      </c>
      <c r="D230" s="13" t="inlineStr">
        <is>
          <t>Pada keadaan terkunci, ketuk Lihat &amp; Bayar Tagihan</t>
        </is>
      </c>
      <c r="E230" s="13" t="inlineStr">
        <is>
          <t>Layar tagihan terbuka dan bisa dipakai</t>
        </is>
      </c>
      <c r="F230" s="13" t="inlineStr">
        <is>
          <t>F-BL-16</t>
        </is>
      </c>
      <c r="G230" s="13" t="inlineStr"/>
      <c r="H230" s="13" t="inlineStr"/>
      <c r="I230" s="13" t="inlineStr"/>
    </row>
    <row r="231">
      <c r="A231" s="16" t="inlineStr">
        <is>
          <t>## 19b. Langganan &amp; Tagihan Resto</t>
        </is>
      </c>
      <c r="B231" s="17" t="inlineStr">
        <is>
          <t>TC-BL-13</t>
        </is>
      </c>
      <c r="C231" s="18" t="inlineStr">
        <is>
          <t>P1</t>
        </is>
      </c>
      <c r="D231" s="16" t="inlineStr">
        <is>
          <t>Pada keadaan terkunci, ketuk Keluar</t>
        </is>
      </c>
      <c r="E231" s="16" t="inlineStr">
        <is>
          <t>Berhasil keluar akun</t>
        </is>
      </c>
      <c r="F231" s="16" t="inlineStr">
        <is>
          <t>F-BL-16</t>
        </is>
      </c>
      <c r="G231" s="16" t="inlineStr"/>
      <c r="H231" s="16" t="inlineStr"/>
      <c r="I231" s="16" t="inlineStr"/>
    </row>
    <row r="232">
      <c r="A232" s="13" t="inlineStr">
        <is>
          <t>## 19b. Langganan &amp; Tagihan Resto</t>
        </is>
      </c>
      <c r="B232" s="14" t="inlineStr">
        <is>
          <t>TC-BL-14</t>
        </is>
      </c>
      <c r="C232" s="15" t="inlineStr">
        <is>
          <t>P1</t>
        </is>
      </c>
      <c r="D232" s="13" t="inlineStr">
        <is>
          <t>Ketuk Buat Virtual Account → pilih BCA</t>
        </is>
      </c>
      <c r="E232" s="13" t="inlineStr">
        <is>
          <t>Nomor VA tampil berikut nominal dan masa berlakunya</t>
        </is>
      </c>
      <c r="F232" s="13" t="inlineStr">
        <is>
          <t>F-BL-11, F-BL-19</t>
        </is>
      </c>
      <c r="G232" s="13" t="inlineStr"/>
      <c r="H232" s="13" t="inlineStr"/>
      <c r="I232" s="13" t="inlineStr"/>
    </row>
    <row r="233">
      <c r="A233" s="16" t="inlineStr">
        <is>
          <t>## 19b. Langganan &amp; Tagihan Resto</t>
        </is>
      </c>
      <c r="B233" s="17" t="inlineStr">
        <is>
          <t>TC-BL-14b</t>
        </is>
      </c>
      <c r="C233" s="18" t="inlineStr">
        <is>
          <t>P1</t>
        </is>
      </c>
      <c r="D233" s="16" t="inlineStr">
        <is>
          <t>Tutup layar, buka lagi, ketuk lagi</t>
        </is>
      </c>
      <c r="E233" s="16" t="inlineStr">
        <is>
          <t>Nomor VA sama, tidak diterbitkan yang baru</t>
        </is>
      </c>
      <c r="F233" s="16" t="inlineStr">
        <is>
          <t>F-BL-23</t>
        </is>
      </c>
      <c r="G233" s="16" t="inlineStr"/>
      <c r="H233" s="16" t="inlineStr"/>
      <c r="I233" s="16" t="inlineStr"/>
    </row>
    <row r="234">
      <c r="A234" s="13" t="inlineStr">
        <is>
          <t>## 19b. Langganan &amp; Tagihan Resto</t>
        </is>
      </c>
      <c r="B234" s="14" t="inlineStr">
        <is>
          <t>TC-BL-14c</t>
        </is>
      </c>
      <c r="C234" s="15" t="inlineStr">
        <is>
          <t>P1</t>
        </is>
      </c>
      <c r="D234" s="13" t="inlineStr">
        <is>
          <t>Transfer tepat sesuai nominal ke VA itu</t>
        </is>
      </c>
      <c r="E234" s="13" t="inlineStr">
        <is>
          <t>Tagihan lunas sendiri dalam hitungan detik; kunci terbuka tanpa mengirim bukti</t>
        </is>
      </c>
      <c r="F234" s="13" t="inlineStr">
        <is>
          <t>F-BL-22</t>
        </is>
      </c>
      <c r="G234" s="13" t="inlineStr"/>
      <c r="H234" s="13" t="inlineStr"/>
      <c r="I234" s="13" t="inlineStr"/>
    </row>
    <row r="235">
      <c r="A235" s="16" t="inlineStr">
        <is>
          <t>## 19b. Langganan &amp; Tagihan Resto</t>
        </is>
      </c>
      <c r="B235" s="17" t="inlineStr">
        <is>
          <t>TC-BL-14d</t>
        </is>
      </c>
      <c r="C235" s="18" t="inlineStr">
        <is>
          <t>P1</t>
        </is>
      </c>
      <c r="D235" s="16" t="inlineStr">
        <is>
          <t>Transfer kurang dari nominal</t>
        </is>
      </c>
      <c r="E235" s="16" t="inlineStr">
        <is>
          <t>Tidak melunasi; tagihan tetap terbuka</t>
        </is>
      </c>
      <c r="F235" s="16" t="inlineStr">
        <is>
          <t>F-BL-20</t>
        </is>
      </c>
      <c r="G235" s="16" t="inlineStr"/>
      <c r="H235" s="16" t="inlineStr"/>
      <c r="I235" s="16" t="inlineStr"/>
    </row>
    <row r="236">
      <c r="A236" s="13" t="inlineStr">
        <is>
          <t>## 19b. Langganan &amp; Tagihan Resto</t>
        </is>
      </c>
      <c r="B236" s="14" t="inlineStr">
        <is>
          <t>TC-BL-14e</t>
        </is>
      </c>
      <c r="C236" s="19" t="inlineStr">
        <is>
          <t>P2</t>
        </is>
      </c>
      <c r="D236" s="13" t="inlineStr">
        <is>
          <t>Ketuk Ganti Bank → pilih BNI</t>
        </is>
      </c>
      <c r="E236" s="13" t="inlineStr">
        <is>
          <t>Nomor VA baru untuk bank itu</t>
        </is>
      </c>
      <c r="F236" s="13" t="inlineStr">
        <is>
          <t>F-BL-19</t>
        </is>
      </c>
      <c r="G236" s="13" t="inlineStr"/>
      <c r="H236" s="13" t="inlineStr"/>
      <c r="I236" s="13" t="inlineStr"/>
    </row>
    <row r="237">
      <c r="A237" s="16" t="inlineStr">
        <is>
          <t>## 19b. Langganan &amp; Tagihan Resto</t>
        </is>
      </c>
      <c r="B237" s="17" t="inlineStr">
        <is>
          <t>TC-BL-14f</t>
        </is>
      </c>
      <c r="C237" s="18" t="inlineStr">
        <is>
          <t>P1</t>
        </is>
      </c>
      <c r="D237" s="16" t="inlineStr">
        <is>
          <t>Periksa rekening tujuan dana VA di Dashboard Xendit</t>
        </is>
      </c>
      <c r="E237" s="16" t="inlineStr">
        <is>
          <t>Masuk ke akun KaataGo, bukan sub-akun resto</t>
        </is>
      </c>
      <c r="F237" s="16" t="inlineStr">
        <is>
          <t>F-BL-11, TSD §7.3</t>
        </is>
      </c>
      <c r="G237" s="16" t="inlineStr"/>
      <c r="H237" s="16" t="inlineStr"/>
      <c r="I237" s="16" t="inlineStr"/>
    </row>
    <row r="238">
      <c r="A238" s="13" t="inlineStr">
        <is>
          <t>## 19b. Langganan &amp; Tagihan Resto</t>
        </is>
      </c>
      <c r="B238" s="14" t="inlineStr">
        <is>
          <t>TC-BL-14g</t>
        </is>
      </c>
      <c r="C238" s="15" t="inlineStr">
        <is>
          <t>P1</t>
        </is>
      </c>
      <c r="D238" s="13" t="inlineStr">
        <is>
          <t>Kirim callback palsu ke xendit-billing-webhook tanpa token</t>
        </is>
      </c>
      <c r="E238" s="13" t="inlineStr">
        <is>
          <t>Ditolak 401; tagihan tidak berubah</t>
        </is>
      </c>
      <c r="F238" s="13" t="inlineStr">
        <is>
          <t>TSD §7.3</t>
        </is>
      </c>
      <c r="G238" s="13" t="inlineStr"/>
      <c r="H238" s="13" t="inlineStr"/>
      <c r="I238" s="13" t="inlineStr"/>
    </row>
    <row r="239">
      <c r="A239" s="16" t="inlineStr">
        <is>
          <t>## 19b. Langganan &amp; Tagihan Resto</t>
        </is>
      </c>
      <c r="B239" s="17" t="inlineStr">
        <is>
          <t>TC-BL-14h</t>
        </is>
      </c>
      <c r="C239" s="20" t="inlineStr">
        <is>
          <t>P2</t>
        </is>
      </c>
      <c r="D239" s="16" t="inlineStr">
        <is>
          <t>Xendit mengirim callback yang sama dua kali</t>
        </is>
      </c>
      <c r="E239" s="16" t="inlineStr">
        <is>
          <t>Tagihan tetap lunas sekali; catatan pelunasnya tidak berubah</t>
        </is>
      </c>
      <c r="F239" s="16" t="inlineStr">
        <is>
          <t>TSD §7.3</t>
        </is>
      </c>
      <c r="G239" s="16" t="inlineStr"/>
      <c r="H239" s="16" t="inlineStr"/>
      <c r="I239" s="16" t="inlineStr"/>
    </row>
    <row r="240">
      <c r="A240" s="13" t="inlineStr">
        <is>
          <t>## 19b. Langganan &amp; Tagihan Resto</t>
        </is>
      </c>
      <c r="B240" s="14" t="inlineStr">
        <is>
          <t>TC-BL-14i</t>
        </is>
      </c>
      <c r="C240" s="19" t="inlineStr">
        <is>
          <t>P2</t>
        </is>
      </c>
      <c r="D240" s="13" t="inlineStr">
        <is>
          <t>Unggah bukti transfer manual lewat jalur cadangan</t>
        </is>
      </c>
      <c r="E240" s="13" t="inlineStr">
        <is>
          <t>Status jadi Menunggu Verifikasi; aplikasi terbuka lagi</t>
        </is>
      </c>
      <c r="F240" s="13" t="inlineStr">
        <is>
          <t>F-BL-24, F-BL-12</t>
        </is>
      </c>
      <c r="G240" s="13" t="inlineStr"/>
      <c r="H240" s="13" t="inlineStr"/>
      <c r="I240" s="13" t="inlineStr"/>
    </row>
    <row r="241">
      <c r="A241" s="16" t="inlineStr">
        <is>
          <t>## 19b. Langganan &amp; Tagihan Resto</t>
        </is>
      </c>
      <c r="B241" s="17" t="inlineStr">
        <is>
          <t>TC-BL-26</t>
        </is>
      </c>
      <c r="C241" s="20" t="inlineStr">
        <is>
          <t>P2</t>
        </is>
      </c>
      <c r="D241" s="16" t="inlineStr">
        <is>
          <t>Dengan kunci uji Xendit, buka tagihan ber-VA</t>
        </is>
      </c>
      <c r="E241" s="16" t="inlineStr">
        <is>
          <t>Tombol Simulasikan Pembayaran muncul</t>
        </is>
      </c>
      <c r="F241" s="16" t="inlineStr">
        <is>
          <t>TSD §7.3</t>
        </is>
      </c>
      <c r="G241" s="16" t="inlineStr"/>
      <c r="H241" s="16" t="inlineStr"/>
      <c r="I241" s="16" t="inlineStr"/>
    </row>
    <row r="242">
      <c r="A242" s="13" t="inlineStr">
        <is>
          <t>## 19b. Langganan &amp; Tagihan Resto</t>
        </is>
      </c>
      <c r="B242" s="14" t="inlineStr">
        <is>
          <t>TC-BL-27</t>
        </is>
      </c>
      <c r="C242" s="15" t="inlineStr">
        <is>
          <t>P1</t>
        </is>
      </c>
      <c r="D242" s="13" t="inlineStr">
        <is>
          <t>Ketuk Simulasikan Pembayaran</t>
        </is>
      </c>
      <c r="E242" s="13" t="inlineStr">
        <is>
          <t>Tagihan jadi Lunas sendiri lewat webhook; kunci resto terbuka</t>
        </is>
      </c>
      <c r="F242" s="13" t="inlineStr">
        <is>
          <t>F-BL-22</t>
        </is>
      </c>
      <c r="G242" s="13" t="inlineStr"/>
      <c r="H242" s="13" t="inlineStr"/>
      <c r="I242" s="13" t="inlineStr"/>
    </row>
    <row r="243">
      <c r="A243" s="16" t="inlineStr">
        <is>
          <t>## 19b. Langganan &amp; Tagihan Resto</t>
        </is>
      </c>
      <c r="B243" s="17" t="inlineStr">
        <is>
          <t>TC-BL-28</t>
        </is>
      </c>
      <c r="C243" s="18" t="inlineStr">
        <is>
          <t>P1</t>
        </is>
      </c>
      <c r="D243" s="16" t="inlineStr">
        <is>
          <t>Pasang kunci produksi Xendit, buka layar yang sama</t>
        </is>
      </c>
      <c r="E243" s="16" t="inlineStr">
        <is>
          <t>Tombol simulasi hilang sendiri</t>
        </is>
      </c>
      <c r="F243" s="16" t="inlineStr">
        <is>
          <t>TSD §7.3</t>
        </is>
      </c>
      <c r="G243" s="16" t="inlineStr"/>
      <c r="H243" s="16" t="inlineStr"/>
      <c r="I243" s="16" t="inlineStr"/>
    </row>
    <row r="244">
      <c r="A244" s="13" t="inlineStr">
        <is>
          <t>## 19b. Langganan &amp; Tagihan Resto</t>
        </is>
      </c>
      <c r="B244" s="14" t="inlineStr">
        <is>
          <t>TC-BL-29</t>
        </is>
      </c>
      <c r="C244" s="15" t="inlineStr">
        <is>
          <t>P1</t>
        </is>
      </c>
      <c r="D244" s="13" t="inlineStr">
        <is>
          <t>Buat diskon langganan setelah tagihan terbit → ketuk segarkan di Super Admin</t>
        </is>
      </c>
      <c r="E244" s="13" t="inlineStr">
        <is>
          <t>Nominal tagihan turun; nomor VA lama dibuang</t>
        </is>
      </c>
      <c r="F244" s="13" t="inlineStr">
        <is>
          <t>F-BL-05</t>
        </is>
      </c>
      <c r="G244" s="13" t="inlineStr"/>
      <c r="H244" s="13" t="inlineStr"/>
      <c r="I244" s="13" t="inlineStr"/>
    </row>
    <row r="245">
      <c r="A245" s="16" t="inlineStr">
        <is>
          <t>## 19b. Langganan &amp; Tagihan Resto</t>
        </is>
      </c>
      <c r="B245" s="17" t="inlineStr">
        <is>
          <t>TC-BL-30</t>
        </is>
      </c>
      <c r="C245" s="18" t="inlineStr">
        <is>
          <t>P1</t>
        </is>
      </c>
      <c r="D245" s="16" t="inlineStr">
        <is>
          <t>Buat VA baru setelah nominalnya berubah</t>
        </is>
      </c>
      <c r="E245" s="16" t="inlineStr">
        <is>
          <t>Nominalnya sesuai yang sudah dipotong</t>
        </is>
      </c>
      <c r="F245" s="16" t="inlineStr">
        <is>
          <t>F-BL-20</t>
        </is>
      </c>
      <c r="G245" s="16" t="inlineStr"/>
      <c r="H245" s="16" t="inlineStr"/>
      <c r="I245" s="16" t="inlineStr"/>
    </row>
    <row r="246">
      <c r="A246" s="13" t="inlineStr">
        <is>
          <t>## 19b. Langganan &amp; Tagihan Resto</t>
        </is>
      </c>
      <c r="B246" s="14" t="inlineStr">
        <is>
          <t>TC-BL-15</t>
        </is>
      </c>
      <c r="C246" s="15" t="inlineStr">
        <is>
          <t>P1</t>
        </is>
      </c>
      <c r="D246" s="13" t="inlineStr">
        <is>
          <t>Coba kirim bukti tanpa melampirkan foto</t>
        </is>
      </c>
      <c r="E246" s="13" t="inlineStr">
        <is>
          <t>Tombol Kirim mati</t>
        </is>
      </c>
      <c r="F246" s="13" t="inlineStr">
        <is>
          <t>F-BL-11</t>
        </is>
      </c>
      <c r="G246" s="13" t="inlineStr"/>
      <c r="H246" s="13" t="inlineStr"/>
      <c r="I246" s="13" t="inlineStr"/>
    </row>
    <row r="247">
      <c r="A247" s="16" t="inlineStr">
        <is>
          <t>## 19b. Langganan &amp; Tagihan Resto</t>
        </is>
      </c>
      <c r="B247" s="17" t="inlineStr">
        <is>
          <t>TC-BL-16</t>
        </is>
      </c>
      <c r="C247" s="18" t="inlineStr">
        <is>
          <t>P1</t>
        </is>
      </c>
      <c r="D247" s="16" t="inlineStr">
        <is>
          <t>Super Admin → tab Tagihan → Terima</t>
        </is>
      </c>
      <c r="E247" s="16" t="inlineStr">
        <is>
          <t>Status jadi Lunas; resto tetap terbuka; pita hilang</t>
        </is>
      </c>
      <c r="F247" s="16" t="inlineStr">
        <is>
          <t>F-BL-13</t>
        </is>
      </c>
      <c r="G247" s="16" t="inlineStr"/>
      <c r="H247" s="16" t="inlineStr"/>
      <c r="I247" s="16" t="inlineStr"/>
    </row>
    <row r="248">
      <c r="A248" s="13" t="inlineStr">
        <is>
          <t>## 19b. Langganan &amp; Tagihan Resto</t>
        </is>
      </c>
      <c r="B248" s="14" t="inlineStr">
        <is>
          <t>TC-BL-17</t>
        </is>
      </c>
      <c r="C248" s="15" t="inlineStr">
        <is>
          <t>P1</t>
        </is>
      </c>
      <c r="D248" s="13" t="inlineStr">
        <is>
          <t>Super Admin → Tolak tanpa mengisi alasan</t>
        </is>
      </c>
      <c r="E248" s="13" t="inlineStr">
        <is>
          <t>Tombol Tolak tidak menyelesaikan apa-apa — alasan wajib</t>
        </is>
      </c>
      <c r="F248" s="13" t="inlineStr">
        <is>
          <t>F-BL-14</t>
        </is>
      </c>
      <c r="G248" s="13" t="inlineStr"/>
      <c r="H248" s="13" t="inlineStr"/>
      <c r="I248" s="13" t="inlineStr"/>
    </row>
    <row r="249">
      <c r="A249" s="16" t="inlineStr">
        <is>
          <t>## 19b. Langganan &amp; Tagihan Resto</t>
        </is>
      </c>
      <c r="B249" s="17" t="inlineStr">
        <is>
          <t>TC-BL-18</t>
        </is>
      </c>
      <c r="C249" s="18" t="inlineStr">
        <is>
          <t>P1</t>
        </is>
      </c>
      <c r="D249" s="16" t="inlineStr">
        <is>
          <t>Tolak berikut alasan, lalu buka layar Tagihan dari sisi resto</t>
        </is>
      </c>
      <c r="E249" s="16" t="inlineStr">
        <is>
          <t>Alasannya terbaca; kalau sudah lewat tenggang, terkunci lagi</t>
        </is>
      </c>
      <c r="F249" s="16" t="inlineStr">
        <is>
          <t>F-BL-14, F-BL-15</t>
        </is>
      </c>
      <c r="G249" s="16" t="inlineStr"/>
      <c r="H249" s="16" t="inlineStr"/>
      <c r="I249" s="16" t="inlineStr"/>
    </row>
    <row r="250">
      <c r="A250" s="13" t="inlineStr">
        <is>
          <t>## 19b. Langganan &amp; Tagihan Resto</t>
        </is>
      </c>
      <c r="B250" s="14" t="inlineStr">
        <is>
          <t>TC-BL-19</t>
        </is>
      </c>
      <c r="C250" s="15" t="inlineStr">
        <is>
          <t>P1</t>
        </is>
      </c>
      <c r="D250" s="13" t="inlineStr">
        <is>
          <t>Login sebagai Super Admin saat ada resto terkunci</t>
        </is>
      </c>
      <c r="E250" s="13" t="inlineStr">
        <is>
          <t>Tidak terkunci sama sekali</t>
        </is>
      </c>
      <c r="F250" s="13" t="inlineStr">
        <is>
          <t>F-BL-17</t>
        </is>
      </c>
      <c r="G250" s="13" t="inlineStr"/>
      <c r="H250" s="13" t="inlineStr"/>
      <c r="I250" s="13" t="inlineStr"/>
    </row>
    <row r="251">
      <c r="A251" s="16" t="inlineStr">
        <is>
          <t>## 19b. Langganan &amp; Tagihan Resto</t>
        </is>
      </c>
      <c r="B251" s="17" t="inlineStr">
        <is>
          <t>TC-BL-20</t>
        </is>
      </c>
      <c r="C251" s="18" t="inlineStr">
        <is>
          <t>P1</t>
        </is>
      </c>
      <c r="D251" s="16" t="inlineStr">
        <is>
          <t>Sebagai resto terkunci, coba ubah harga produk</t>
        </is>
      </c>
      <c r="E251" s="16" t="inlineStr">
        <is>
          <t>Ditolak — katalog ikut dibekukan</t>
        </is>
      </c>
      <c r="F251" s="16" t="inlineStr">
        <is>
          <t>F-BL-18</t>
        </is>
      </c>
      <c r="G251" s="16" t="inlineStr"/>
      <c r="H251" s="16" t="inlineStr"/>
      <c r="I251" s="16" t="inlineStr"/>
    </row>
    <row r="252">
      <c r="A252" s="13" t="inlineStr">
        <is>
          <t>## 19b. Langganan &amp; Tagihan Resto</t>
        </is>
      </c>
      <c r="B252" s="14" t="inlineStr">
        <is>
          <t>TC-BL-21</t>
        </is>
      </c>
      <c r="C252" s="15" t="inlineStr">
        <is>
          <t>P1</t>
        </is>
      </c>
      <c r="D252" s="13" t="inlineStr">
        <is>
          <t>Resto A terkunci; buka aplikasi sebagai karyawan resto B</t>
        </is>
      </c>
      <c r="E252" s="13" t="inlineStr">
        <is>
          <t>Resto B tidak terpengaruh</t>
        </is>
      </c>
      <c r="F252" s="13" t="inlineStr">
        <is>
          <t>F-BL-15, A-10</t>
        </is>
      </c>
      <c r="G252" s="13" t="inlineStr"/>
      <c r="H252" s="13" t="inlineStr"/>
      <c r="I252" s="13" t="inlineStr"/>
    </row>
    <row r="253">
      <c r="A253" s="16" t="inlineStr">
        <is>
          <t>## 19b. Langganan &amp; Tagihan Resto</t>
        </is>
      </c>
      <c r="B253" s="17" t="inlineStr">
        <is>
          <t>TC-BL-22</t>
        </is>
      </c>
      <c r="C253" s="18" t="inlineStr">
        <is>
          <t>P1</t>
        </is>
      </c>
      <c r="D253" s="16" t="inlineStr">
        <is>
          <t>Coba panggil review_billing_payment sebagai Owner resto</t>
        </is>
      </c>
      <c r="E253" s="16" t="inlineStr">
        <is>
          <t>Ditolak — hanya Super Admin</t>
        </is>
      </c>
      <c r="F253" s="16" t="inlineStr">
        <is>
          <t>F-BL-13</t>
        </is>
      </c>
      <c r="G253" s="16" t="inlineStr"/>
      <c r="H253" s="16" t="inlineStr"/>
      <c r="I253" s="16" t="inlineStr"/>
    </row>
    <row r="254">
      <c r="A254" s="13" t="inlineStr">
        <is>
          <t>## 19b. Langganan &amp; Tagihan Resto</t>
        </is>
      </c>
      <c r="B254" s="14" t="inlineStr">
        <is>
          <t>TC-BL-23</t>
        </is>
      </c>
      <c r="C254" s="15" t="inlineStr">
        <is>
          <t>P1</t>
        </is>
      </c>
      <c r="D254" s="13" t="inlineStr">
        <is>
          <t>Coba UPDATE billing_invoices SET status='paid' sebagai Owner</t>
        </is>
      </c>
      <c r="E254" s="13" t="inlineStr">
        <is>
          <t>Ditolak</t>
        </is>
      </c>
      <c r="F254" s="13" t="inlineStr">
        <is>
          <t>F-BL-13, TSD §7.3</t>
        </is>
      </c>
      <c r="G254" s="13" t="inlineStr"/>
      <c r="H254" s="13" t="inlineStr"/>
      <c r="I254" s="13" t="inlineStr"/>
    </row>
    <row r="255">
      <c r="A255" s="16" t="inlineStr">
        <is>
          <t>## 19b. Langganan &amp; Tagihan Resto</t>
        </is>
      </c>
      <c r="B255" s="17" t="inlineStr">
        <is>
          <t>TC-BL-24</t>
        </is>
      </c>
      <c r="C255" s="20" t="inlineStr">
        <is>
          <t>P2</t>
        </is>
      </c>
      <c r="D255" s="16" t="inlineStr">
        <is>
          <t>Matikan sambungan, buka aplikasi resto berbayar yang lancar</t>
        </is>
      </c>
      <c r="E255" s="16" t="inlineStr">
        <is>
          <t>Tidak terkunci karena gagal memeriksa</t>
        </is>
      </c>
      <c r="F255" s="16" t="inlineStr">
        <is>
          <t>TSD §7.3</t>
        </is>
      </c>
      <c r="G255" s="16" t="inlineStr"/>
      <c r="H255" s="16" t="inlineStr"/>
      <c r="I255" s="16" t="inlineStr"/>
    </row>
    <row r="256">
      <c r="A256" s="13" t="inlineStr">
        <is>
          <t>## 19b. Langganan &amp; Tagihan Resto</t>
        </is>
      </c>
      <c r="B256" s="14" t="inlineStr">
        <is>
          <t>TC-BL-25</t>
        </is>
      </c>
      <c r="C256" s="19" t="inlineStr">
        <is>
          <t>P2</t>
        </is>
      </c>
      <c r="D256" s="13" t="inlineStr">
        <is>
          <t>Owner → Tagihan Langganan</t>
        </is>
      </c>
      <c r="E256" s="13" t="inlineStr">
        <is>
          <t>Terbuka, memuat paket dan riwayat tagihan</t>
        </is>
      </c>
      <c r="F256" s="13" t="inlineStr">
        <is>
          <t>F-BL-11</t>
        </is>
      </c>
      <c r="G256" s="13" t="inlineStr"/>
      <c r="H256" s="13" t="inlineStr"/>
      <c r="I256" s="13" t="inlineStr"/>
    </row>
    <row r="257">
      <c r="A257" s="16" t="inlineStr">
        <is>
          <t>## 19c. Finance KaataGo (Super Admin)</t>
        </is>
      </c>
      <c r="B257" s="17" t="inlineStr">
        <is>
          <t>TC-PF-01</t>
        </is>
      </c>
      <c r="C257" s="18" t="inlineStr">
        <is>
          <t>P1</t>
        </is>
      </c>
      <c r="D257" s="16" t="inlineStr">
        <is>
          <t>Super Admin → Finance → Riwayat Langganan</t>
        </is>
      </c>
      <c r="E257" s="16" t="inlineStr">
        <is>
          <t>Tagihan lunas tampil, dikelompokkan per bulan, dengan total</t>
        </is>
      </c>
      <c r="F257" s="16" t="inlineStr">
        <is>
          <t>F-PF-01</t>
        </is>
      </c>
      <c r="G257" s="16" t="inlineStr"/>
      <c r="H257" s="16" t="inlineStr"/>
      <c r="I257" s="16" t="inlineStr"/>
    </row>
    <row r="258">
      <c r="A258" s="13" t="inlineStr">
        <is>
          <t>## 19c. Finance KaataGo (Super Admin)</t>
        </is>
      </c>
      <c r="B258" s="14" t="inlineStr">
        <is>
          <t>TC-PF-02</t>
        </is>
      </c>
      <c r="C258" s="19" t="inlineStr">
        <is>
          <t>P2</t>
        </is>
      </c>
      <c r="D258" s="13" t="inlineStr">
        <is>
          <t>Periksa penanda jalur pelunasan tiap baris</t>
        </is>
      </c>
      <c r="E258" s="13" t="inlineStr">
        <is>
          <t>Tertulis VA atau manual sesuai cara lunasnya</t>
        </is>
      </c>
      <c r="F258" s="13" t="inlineStr">
        <is>
          <t>F-PF-02</t>
        </is>
      </c>
      <c r="G258" s="13" t="inlineStr"/>
      <c r="H258" s="13" t="inlineStr"/>
      <c r="I258" s="13" t="inlineStr"/>
    </row>
    <row r="259">
      <c r="A259" s="16" t="inlineStr">
        <is>
          <t>## 19c. Finance KaataGo (Super Admin)</t>
        </is>
      </c>
      <c r="B259" s="17" t="inlineStr">
        <is>
          <t>TC-PF-03</t>
        </is>
      </c>
      <c r="C259" s="18" t="inlineStr">
        <is>
          <t>P1</t>
        </is>
      </c>
      <c r="D259" s="16" t="inlineStr">
        <is>
          <t>Buat diskon langganan 20% untuk satu resto → terbitkan tagihan</t>
        </is>
      </c>
      <c r="E259" s="16" t="inlineStr">
        <is>
          <t>Tagihan resto itu berkurang 20%; resto lain tetap penuh</t>
        </is>
      </c>
      <c r="F259" s="16" t="inlineStr">
        <is>
          <t>F-PF-03, F-PF-05</t>
        </is>
      </c>
      <c r="G259" s="16" t="inlineStr"/>
      <c r="H259" s="16" t="inlineStr"/>
      <c r="I259" s="16" t="inlineStr"/>
    </row>
    <row r="260">
      <c r="A260" s="13" t="inlineStr">
        <is>
          <t>## 19c. Finance KaataGo (Super Admin)</t>
        </is>
      </c>
      <c r="B260" s="14" t="inlineStr">
        <is>
          <t>TC-PF-04</t>
        </is>
      </c>
      <c r="C260" s="15" t="inlineStr">
        <is>
          <t>P1</t>
        </is>
      </c>
      <c r="D260" s="13" t="inlineStr">
        <is>
          <t>Simpan diskon tanpa memilih resto</t>
        </is>
      </c>
      <c r="E260" s="13" t="inlineStr">
        <is>
          <t>Ditolak — diskon tanpa sasaran tidak mengenai siapa pun</t>
        </is>
      </c>
      <c r="F260" s="13" t="inlineStr">
        <is>
          <t>F-PF-03</t>
        </is>
      </c>
      <c r="G260" s="13" t="inlineStr"/>
      <c r="H260" s="13" t="inlineStr"/>
      <c r="I260" s="13" t="inlineStr"/>
    </row>
    <row r="261">
      <c r="A261" s="16" t="inlineStr">
        <is>
          <t>## 19c. Finance KaataGo (Super Admin)</t>
        </is>
      </c>
      <c r="B261" s="17" t="inlineStr">
        <is>
          <t>TC-PF-05</t>
        </is>
      </c>
      <c r="C261" s="20" t="inlineStr">
        <is>
          <t>P2</t>
        </is>
      </c>
      <c r="D261" s="16" t="inlineStr">
        <is>
          <t>Buat diskon rupiah lebih besar daripada harga langganan</t>
        </is>
      </c>
      <c r="E261" s="16" t="inlineStr">
        <is>
          <t>Potongannya berhenti di harga; tagihan tidak pernah negatif</t>
        </is>
      </c>
      <c r="F261" s="16" t="inlineStr">
        <is>
          <t>F-PF-03</t>
        </is>
      </c>
      <c r="G261" s="16" t="inlineStr"/>
      <c r="H261" s="16" t="inlineStr"/>
      <c r="I261" s="16" t="inlineStr"/>
    </row>
    <row r="262">
      <c r="A262" s="13" t="inlineStr">
        <is>
          <t>## 19c. Finance KaataGo (Super Admin)</t>
        </is>
      </c>
      <c r="B262" s="14" t="inlineStr">
        <is>
          <t>TC-PF-06</t>
        </is>
      </c>
      <c r="C262" s="19" t="inlineStr">
        <is>
          <t>P2</t>
        </is>
      </c>
      <c r="D262" s="13" t="inlineStr">
        <is>
          <t>Nonaktifkan diskon, terbitkan tagihan berikutnya</t>
        </is>
      </c>
      <c r="E262" s="13" t="inlineStr">
        <is>
          <t>Tidak memotong; diskonnya tetap ada di daftar</t>
        </is>
      </c>
      <c r="F262" s="13" t="inlineStr">
        <is>
          <t>F-PF-04</t>
        </is>
      </c>
      <c r="G262" s="13" t="inlineStr"/>
      <c r="H262" s="13" t="inlineStr"/>
      <c r="I262" s="13" t="inlineStr"/>
    </row>
    <row r="263">
      <c r="A263" s="16" t="inlineStr">
        <is>
          <t>## 19c. Finance KaataGo (Super Admin)</t>
        </is>
      </c>
      <c r="B263" s="17" t="inlineStr">
        <is>
          <t>TC-PF-07</t>
        </is>
      </c>
      <c r="C263" s="18" t="inlineStr">
        <is>
          <t>P1</t>
        </is>
      </c>
      <c r="D263" s="16" t="inlineStr">
        <is>
          <t>Hapus diskon setelah tagihan terbit</t>
        </is>
      </c>
      <c r="E263" s="16" t="inlineStr">
        <is>
          <t>Tagihan yang sudah terbit tetap menyebut potongannya</t>
        </is>
      </c>
      <c r="F263" s="16" t="inlineStr">
        <is>
          <t>F-PF-05</t>
        </is>
      </c>
      <c r="G263" s="16" t="inlineStr"/>
      <c r="H263" s="16" t="inlineStr"/>
      <c r="I263" s="16" t="inlineStr"/>
    </row>
    <row r="264">
      <c r="A264" s="13" t="inlineStr">
        <is>
          <t>## 19c. Finance KaataGo (Super Admin)</t>
        </is>
      </c>
      <c r="B264" s="14" t="inlineStr">
        <is>
          <t>TC-PF-08</t>
        </is>
      </c>
      <c r="C264" s="15" t="inlineStr">
        <is>
          <t>P1</t>
        </is>
      </c>
      <c r="D264" s="13" t="inlineStr">
        <is>
          <t>Bayar tagihan berdiskon → buka Jurnal GL KaataGo</t>
        </is>
      </c>
      <c r="E264" s="13" t="inlineStr">
        <is>
          <t>Dua baris: pendapatan kredit, diskon debit</t>
        </is>
      </c>
      <c r="F264" s="13" t="inlineStr">
        <is>
          <t>F-PF-06, F-PF-07</t>
        </is>
      </c>
      <c r="G264" s="13" t="inlineStr"/>
      <c r="H264" s="13" t="inlineStr"/>
      <c r="I264" s="13" t="inlineStr"/>
    </row>
    <row r="265">
      <c r="A265" s="16" t="inlineStr">
        <is>
          <t>## 19c. Finance KaataGo (Super Admin)</t>
        </is>
      </c>
      <c r="B265" s="17" t="inlineStr">
        <is>
          <t>TC-PF-09</t>
        </is>
      </c>
      <c r="C265" s="18" t="inlineStr">
        <is>
          <t>P1</t>
        </is>
      </c>
      <c r="D265" s="16" t="inlineStr">
        <is>
          <t>Tagihan ditolak lalu diterima lagi</t>
        </is>
      </c>
      <c r="E265" s="16" t="inlineStr">
        <is>
          <t>Jurnalnya tetap satu set — pendapatan tidak tercatat dua kali</t>
        </is>
      </c>
      <c r="F265" s="16" t="inlineStr">
        <is>
          <t>F-PF-07</t>
        </is>
      </c>
      <c r="G265" s="16" t="inlineStr"/>
      <c r="H265" s="16" t="inlineStr"/>
      <c r="I265" s="16" t="inlineStr"/>
    </row>
    <row r="266">
      <c r="A266" s="13" t="inlineStr">
        <is>
          <t>## 19c. Finance KaataGo (Super Admin)</t>
        </is>
      </c>
      <c r="B266" s="14" t="inlineStr">
        <is>
          <t>TC-PF-10</t>
        </is>
      </c>
      <c r="C266" s="15" t="inlineStr">
        <is>
          <t>P1</t>
        </is>
      </c>
      <c r="D266" s="13" t="inlineStr">
        <is>
          <t>Buka Jurnal GL resto yang membayar</t>
        </is>
      </c>
      <c r="E266" s="13" t="inlineStr">
        <is>
          <t>Tidak ada baris pendapatan langganan di sana</t>
        </is>
      </c>
      <c r="F266" s="13" t="inlineStr">
        <is>
          <t>F-PF-07</t>
        </is>
      </c>
      <c r="G266" s="13" t="inlineStr"/>
      <c r="H266" s="13" t="inlineStr"/>
      <c r="I266" s="13" t="inlineStr"/>
    </row>
    <row r="267">
      <c r="A267" s="16" t="inlineStr">
        <is>
          <t>## 19c. Finance KaataGo (Super Admin)</t>
        </is>
      </c>
      <c r="B267" s="17" t="inlineStr">
        <is>
          <t>TC-PF-11</t>
        </is>
      </c>
      <c r="C267" s="20" t="inlineStr">
        <is>
          <t>P2</t>
        </is>
      </c>
      <c r="D267" s="16" t="inlineStr">
        <is>
          <t>Buka Mapping GL Account KaataGo</t>
        </is>
      </c>
      <c r="E267" s="16" t="inlineStr">
        <is>
          <t>Bagan akun 11xxxxx lengkap, berbeda dari 19xxxxx milik resto</t>
        </is>
      </c>
      <c r="F267" s="16" t="inlineStr">
        <is>
          <t>F-PF-08</t>
        </is>
      </c>
      <c r="G267" s="16" t="inlineStr"/>
      <c r="H267" s="16" t="inlineStr"/>
      <c r="I267" s="16" t="inlineStr"/>
    </row>
    <row r="268">
      <c r="A268" s="13" t="inlineStr">
        <is>
          <t>## 19c. Finance KaataGo (Super Admin)</t>
        </is>
      </c>
      <c r="B268" s="14" t="inlineStr">
        <is>
          <t>TC-PF-12</t>
        </is>
      </c>
      <c r="C268" s="19" t="inlineStr">
        <is>
          <t>P2</t>
        </is>
      </c>
      <c r="D268" s="13" t="inlineStr">
        <is>
          <t>Catat pengeluaran dan top up petty cash KaataGo</t>
        </is>
      </c>
      <c r="E268" s="13" t="inlineStr">
        <is>
          <t>Bekerja sama seperti di resto</t>
        </is>
      </c>
      <c r="F268" s="13" t="inlineStr">
        <is>
          <t>F-PF-09</t>
        </is>
      </c>
      <c r="G268" s="13" t="inlineStr"/>
      <c r="H268" s="13" t="inlineStr"/>
      <c r="I268" s="13" t="inlineStr"/>
    </row>
    <row r="269">
      <c r="A269" s="16" t="inlineStr">
        <is>
          <t>## 19c. Finance KaataGo (Super Admin)</t>
        </is>
      </c>
      <c r="B269" s="17" t="inlineStr">
        <is>
          <t>TC-PF-13</t>
        </is>
      </c>
      <c r="C269" s="18" t="inlineStr">
        <is>
          <t>P1</t>
        </is>
      </c>
      <c r="D269" s="16" t="inlineStr">
        <is>
          <t>Telusuri menu Finance KaataGo</t>
        </is>
      </c>
      <c r="E269" s="16" t="inlineStr">
        <is>
          <t>Tidak ada Setor Saldo Cash</t>
        </is>
      </c>
      <c r="F269" s="16" t="inlineStr">
        <is>
          <t>F-PF-10</t>
        </is>
      </c>
      <c r="G269" s="16" t="inlineStr"/>
      <c r="H269" s="16" t="inlineStr"/>
      <c r="I269" s="16" t="inlineStr"/>
    </row>
    <row r="270">
      <c r="A270" s="13" t="inlineStr">
        <is>
          <t>## 19c. Finance KaataGo (Super Admin)</t>
        </is>
      </c>
      <c r="B270" s="14" t="inlineStr">
        <is>
          <t>TC-PF-14</t>
        </is>
      </c>
      <c r="C270" s="15" t="inlineStr">
        <is>
          <t>P1</t>
        </is>
      </c>
      <c r="D270" s="13" t="inlineStr">
        <is>
          <t>Buka Jurnal GL Semua Resto</t>
        </is>
      </c>
      <c r="E270" s="13" t="inlineStr">
        <is>
          <t>Jurnal seluruh resto tampil, bisa disaring per resto</t>
        </is>
      </c>
      <c r="F270" s="13" t="inlineStr">
        <is>
          <t>F-PF-11</t>
        </is>
      </c>
      <c r="G270" s="13" t="inlineStr"/>
      <c r="H270" s="13" t="inlineStr"/>
      <c r="I270" s="13" t="inlineStr"/>
    </row>
    <row r="271">
      <c r="A271" s="16" t="inlineStr">
        <is>
          <t>## 19c. Finance KaataGo (Super Admin)</t>
        </is>
      </c>
      <c r="B271" s="17" t="inlineStr">
        <is>
          <t>TC-PF-15</t>
        </is>
      </c>
      <c r="C271" s="18" t="inlineStr">
        <is>
          <t>P1</t>
        </is>
      </c>
      <c r="D271" s="16" t="inlineStr">
        <is>
          <t>Cari cara mengubah baris di Jurnal GL Semua Resto</t>
        </is>
      </c>
      <c r="E271" s="16" t="inlineStr">
        <is>
          <t>Tidak ada satu pun — hanya bisa dilihat</t>
        </is>
      </c>
      <c r="F271" s="16" t="inlineStr">
        <is>
          <t>F-PF-12</t>
        </is>
      </c>
      <c r="G271" s="16" t="inlineStr"/>
      <c r="H271" s="16" t="inlineStr"/>
      <c r="I271" s="16" t="inlineStr"/>
    </row>
    <row r="272">
      <c r="A272" s="13" t="inlineStr">
        <is>
          <t>## 19c. Finance KaataGo (Super Admin)</t>
        </is>
      </c>
      <c r="B272" s="14" t="inlineStr">
        <is>
          <t>TC-PF-16</t>
        </is>
      </c>
      <c r="C272" s="15" t="inlineStr">
        <is>
          <t>P1</t>
        </is>
      </c>
      <c r="D272" s="13" t="inlineStr">
        <is>
          <t>Coba UPDATE gl_journal_entries sebagai Super Admin lewat API</t>
        </is>
      </c>
      <c r="E272" s="13" t="inlineStr">
        <is>
          <t>Ditolak</t>
        </is>
      </c>
      <c r="F272" s="13" t="inlineStr">
        <is>
          <t>F-PF-12, TSD §7.4</t>
        </is>
      </c>
      <c r="G272" s="13" t="inlineStr"/>
      <c r="H272" s="13" t="inlineStr"/>
      <c r="I272" s="13" t="inlineStr"/>
    </row>
    <row r="273">
      <c r="A273" s="16" t="inlineStr">
        <is>
          <t>## 19c. Finance KaataGo (Super Admin)</t>
        </is>
      </c>
      <c r="B273" s="17" t="inlineStr">
        <is>
          <t>TC-PF-17</t>
        </is>
      </c>
      <c r="C273" s="18" t="inlineStr">
        <is>
          <t>P1</t>
        </is>
      </c>
      <c r="D273" s="16" t="inlineStr">
        <is>
          <t>Buka Pilih Resto sebagai pelanggan</t>
        </is>
      </c>
      <c r="E273" s="16" t="inlineStr">
        <is>
          <t>KaataGo tidak muncul di daftar mana pun</t>
        </is>
      </c>
      <c r="F273" s="16" t="inlineStr">
        <is>
          <t>TSD §7.4</t>
        </is>
      </c>
      <c r="G273" s="16" t="inlineStr"/>
      <c r="H273" s="16" t="inlineStr"/>
      <c r="I273" s="16" t="inlineStr"/>
    </row>
    <row r="274">
      <c r="A274" s="13" t="inlineStr">
        <is>
          <t>## 19c. Finance KaataGo (Super Admin)</t>
        </is>
      </c>
      <c r="B274" s="14" t="inlineStr">
        <is>
          <t>TC-PF-18</t>
        </is>
      </c>
      <c r="C274" s="15" t="inlineStr">
        <is>
          <t>P1</t>
        </is>
      </c>
      <c r="D274" s="13" t="inlineStr">
        <is>
          <t>Buka List Resto dan Billing Resto sebagai Super Admin</t>
        </is>
      </c>
      <c r="E274" s="13" t="inlineStr">
        <is>
          <t>KaataGo tidak muncul sebagai resto yang bisa ditagih</t>
        </is>
      </c>
      <c r="F274" s="13" t="inlineStr">
        <is>
          <t>TSD §7.4</t>
        </is>
      </c>
      <c r="G274" s="13" t="inlineStr"/>
      <c r="H274" s="13" t="inlineStr"/>
      <c r="I274" s="13" t="inlineStr"/>
    </row>
    <row r="275">
      <c r="A275" s="16" t="inlineStr">
        <is>
          <t>## 19c. Finance KaataGo (Super Admin)</t>
        </is>
      </c>
      <c r="B275" s="17" t="inlineStr">
        <is>
          <t>TC-PF-19</t>
        </is>
      </c>
      <c r="C275" s="20" t="inlineStr">
        <is>
          <t>P2</t>
        </is>
      </c>
      <c r="D275" s="16" t="inlineStr">
        <is>
          <t>Buka Diskon Langganan sebagai Owner resto</t>
        </is>
      </c>
      <c r="E275" s="16" t="inlineStr">
        <is>
          <t>Hanya diskon yang mengenai restonya yang terbaca</t>
        </is>
      </c>
      <c r="F275" s="16" t="inlineStr">
        <is>
          <t>F-PF-03</t>
        </is>
      </c>
      <c r="G275" s="16" t="inlineStr"/>
      <c r="H275" s="16" t="inlineStr"/>
      <c r="I275" s="16" t="inlineStr"/>
    </row>
    <row r="276">
      <c r="A276" s="13" t="inlineStr">
        <is>
          <t>## 19c. Finance KaataGo (Super Admin)</t>
        </is>
      </c>
      <c r="B276" s="14" t="inlineStr">
        <is>
          <t>TC-PF-20</t>
        </is>
      </c>
      <c r="C276" s="15" t="inlineStr">
        <is>
          <t>P1</t>
        </is>
      </c>
      <c r="D276" s="13" t="inlineStr">
        <is>
          <t>Bandingkan total debit/kredit Jurnal Semua Resto dengan Jurnal GL resto itu (saring ke resto yang sama)</t>
        </is>
      </c>
      <c r="E276" s="13" t="inlineStr">
        <is>
          <t>Angkanya sama persis</t>
        </is>
      </c>
      <c r="F276" s="13" t="inlineStr">
        <is>
          <t>F-PF-14</t>
        </is>
      </c>
      <c r="G276" s="13" t="inlineStr"/>
      <c r="H276" s="13" t="inlineStr"/>
      <c r="I276" s="13" t="inlineStr"/>
    </row>
    <row r="277">
      <c r="A277" s="16" t="inlineStr">
        <is>
          <t>## 19c. Finance KaataGo (Super Admin)</t>
        </is>
      </c>
      <c r="B277" s="17" t="inlineStr">
        <is>
          <t>TC-PF-21</t>
        </is>
      </c>
      <c r="C277" s="18" t="inlineStr">
        <is>
          <t>P1</t>
        </is>
      </c>
      <c r="D277" s="16" t="inlineStr">
        <is>
          <t>Batalkan sebuah pengeluaran, lihat kedua layar jurnal</t>
        </is>
      </c>
      <c r="E277" s="16" t="inlineStr">
        <is>
          <t>Total tidak naik; keterangan "N pembatalan tidak dihitung" muncul</t>
        </is>
      </c>
      <c r="F277" s="16" t="inlineStr">
        <is>
          <t>F-PF-14</t>
        </is>
      </c>
      <c r="G277" s="16" t="inlineStr"/>
      <c r="H277" s="16" t="inlineStr"/>
      <c r="I277" s="16" t="inlineStr"/>
    </row>
    <row r="278">
      <c r="A278" s="13" t="inlineStr">
        <is>
          <t>## 19c. Finance KaataGo (Super Admin)</t>
        </is>
      </c>
      <c r="B278" s="14" t="inlineStr">
        <is>
          <t>TC-PF-22</t>
        </is>
      </c>
      <c r="C278" s="19" t="inlineStr">
        <is>
          <t>P2</t>
        </is>
      </c>
      <c r="D278" s="13" t="inlineStr">
        <is>
          <t>Cari baris pembatalan di daftar</t>
        </is>
      </c>
      <c r="E278" s="13" t="inlineStr">
        <is>
          <t>Tetap tampil, bertanda PEMBATALAN</t>
        </is>
      </c>
      <c r="F278" s="13" t="inlineStr">
        <is>
          <t>F-PF-15</t>
        </is>
      </c>
      <c r="G278" s="13" t="inlineStr"/>
      <c r="H278" s="13" t="inlineStr"/>
      <c r="I278" s="13" t="inlineStr"/>
    </row>
    <row r="279">
      <c r="A279" s="16" t="inlineStr">
        <is>
          <t>## 19c. Finance KaataGo (Super Admin)</t>
        </is>
      </c>
      <c r="B279" s="17" t="inlineStr">
        <is>
          <t>TC-PF-23</t>
        </is>
      </c>
      <c r="C279" s="18" t="inlineStr">
        <is>
          <t>P1</t>
        </is>
      </c>
      <c r="D279" s="16" t="inlineStr">
        <is>
          <t>Saring ke sebuah resto, lalu pilih Semua resto lagi</t>
        </is>
      </c>
      <c r="E279" s="16" t="inlineStr">
        <is>
          <t>Kembali menampilkan seluruh resto — bukan tetap tersaring</t>
        </is>
      </c>
      <c r="F279" s="16" t="inlineStr">
        <is>
          <t>F-PF-16</t>
        </is>
      </c>
      <c r="G279" s="16" t="inlineStr"/>
      <c r="H279" s="16" t="inlineStr"/>
      <c r="I279" s="16" t="inlineStr"/>
    </row>
    <row r="280">
      <c r="A280" s="13" t="inlineStr">
        <is>
          <t>## 19c. Finance KaataGo (Super Admin)</t>
        </is>
      </c>
      <c r="B280" s="14" t="inlineStr">
        <is>
          <t>TC-PF-24</t>
        </is>
      </c>
      <c r="C280" s="15" t="inlineStr">
        <is>
          <t>P1</t>
        </is>
      </c>
      <c r="D280" s="13" t="inlineStr">
        <is>
          <t>Saring ke resto A, lalu saring lagi ke resto B yang punya jurnal</t>
        </is>
      </c>
      <c r="E280" s="13" t="inlineStr">
        <is>
          <t>Isinya berganti ke jurnal resto B</t>
        </is>
      </c>
      <c r="F280" s="13" t="inlineStr">
        <is>
          <t>F-PF-16</t>
        </is>
      </c>
      <c r="G280" s="13" t="inlineStr"/>
      <c r="H280" s="13" t="inlineStr"/>
      <c r="I280" s="13" t="inlineStr"/>
    </row>
    <row r="281">
      <c r="A281" s="16" t="inlineStr">
        <is>
          <t>## 19c. Finance KaataGo (Super Admin)</t>
        </is>
      </c>
      <c r="B281" s="17" t="inlineStr">
        <is>
          <t>TC-PF-25</t>
        </is>
      </c>
      <c r="C281" s="20" t="inlineStr">
        <is>
          <t>P2</t>
        </is>
      </c>
      <c r="D281" s="16" t="inlineStr">
        <is>
          <t>Perhatikan pita di atas layar sesudah menyaring</t>
        </is>
      </c>
      <c r="E281" s="16" t="inlineStr">
        <is>
          <t>Nama restonya tertulis, dengan tombol × untuk melepasnya</t>
        </is>
      </c>
      <c r="F281" s="16" t="inlineStr">
        <is>
          <t>F-PF-16</t>
        </is>
      </c>
      <c r="G281" s="16" t="inlineStr"/>
      <c r="H281" s="16" t="inlineStr"/>
      <c r="I281" s="16" t="inlineStr"/>
    </row>
    <row r="282">
      <c r="A282" s="13" t="inlineStr">
        <is>
          <t>## 19c. Finance KaataGo (Super Admin)</t>
        </is>
      </c>
      <c r="B282" s="14" t="inlineStr">
        <is>
          <t>TC-PF-26</t>
        </is>
      </c>
      <c r="C282" s="19" t="inlineStr">
        <is>
          <t>P2</t>
        </is>
      </c>
      <c r="D282" s="13" t="inlineStr">
        <is>
          <t>Buka daftar saringan</t>
        </is>
      </c>
      <c r="E282" s="13" t="inlineStr">
        <is>
          <t>Resto yang belum punya jurnal ditandai "Belum ada jurnal"</t>
        </is>
      </c>
      <c r="F282" s="13" t="inlineStr">
        <is>
          <t>F-PF-17</t>
        </is>
      </c>
      <c r="G282" s="13" t="inlineStr"/>
      <c r="H282" s="13" t="inlineStr"/>
      <c r="I282" s="13" t="inlineStr"/>
    </row>
    <row r="283">
      <c r="A283" s="16" t="inlineStr">
        <is>
          <t>## 19c. Finance KaataGo (Super Admin)</t>
        </is>
      </c>
      <c r="B283" s="17" t="inlineStr">
        <is>
          <t>TC-PF-27</t>
        </is>
      </c>
      <c r="C283" s="20" t="inlineStr">
        <is>
          <t>P2</t>
        </is>
      </c>
      <c r="D283" s="16" t="inlineStr">
        <is>
          <t>Perhatikan pengelompokan</t>
        </is>
      </c>
      <c r="E283" s="16" t="inlineStr">
        <is>
          <t>Per tanggal, bisa dilipat; tanggal terbaru terbuka, sisanya tertutup</t>
        </is>
      </c>
      <c r="F283" s="16" t="inlineStr">
        <is>
          <t>F-PF-18</t>
        </is>
      </c>
      <c r="G283" s="16" t="inlineStr"/>
      <c r="H283" s="16" t="inlineStr"/>
      <c r="I283" s="16" t="inlineStr"/>
    </row>
    <row r="284">
      <c r="A284" s="13" t="inlineStr">
        <is>
          <t>## 19c. Finance KaataGo (Super Admin)</t>
        </is>
      </c>
      <c r="B284" s="14" t="inlineStr">
        <is>
          <t>TC-PF-28</t>
        </is>
      </c>
      <c r="C284" s="15" t="inlineStr">
        <is>
          <t>P1</t>
        </is>
      </c>
      <c r="D284" s="13" t="inlineStr">
        <is>
          <t>Buka Mapping GL Account resto mana pun</t>
        </is>
      </c>
      <c r="E284" s="13" t="inlineStr">
        <is>
          <t>GL Diskon punya bagiannya dan nomornya sudah terisi</t>
        </is>
      </c>
      <c r="F284" s="13" t="inlineStr">
        <is>
          <t>F-PF-19, F-DS-09</t>
        </is>
      </c>
      <c r="G284" s="13" t="inlineStr"/>
      <c r="H284" s="13" t="inlineStr"/>
      <c r="I284" s="13" t="inlineStr"/>
    </row>
    <row r="285">
      <c r="A285" s="16" t="inlineStr">
        <is>
          <t>## 19c. Finance KaataGo (Super Admin)</t>
        </is>
      </c>
      <c r="B285" s="17" t="inlineStr">
        <is>
          <t>TC-PF-29</t>
        </is>
      </c>
      <c r="C285" s="20" t="inlineStr">
        <is>
          <t>P2</t>
        </is>
      </c>
      <c r="D285" s="16" t="inlineStr">
        <is>
          <t>Buka Mapping GL Account KaataGo</t>
        </is>
      </c>
      <c r="E285" s="16" t="inlineStr">
        <is>
          <t>Ada bagian GL Langganan; penghitung akun tidak pernah menyisakan yang mustahil terisi</t>
        </is>
      </c>
      <c r="F285" s="16" t="inlineStr">
        <is>
          <t>F-PF-19</t>
        </is>
      </c>
      <c r="G285" s="16" t="inlineStr"/>
      <c r="H285" s="16" t="inlineStr"/>
      <c r="I285" s="16" t="inlineStr"/>
    </row>
    <row r="286">
      <c r="A286" s="13" t="inlineStr">
        <is>
          <t>## 19c. Finance KaataGo (Super Admin)</t>
        </is>
      </c>
      <c r="B286" s="14" t="inlineStr">
        <is>
          <t>TC-PF-30</t>
        </is>
      </c>
      <c r="C286" s="15" t="inlineStr">
        <is>
          <t>P1</t>
        </is>
      </c>
      <c r="D286" s="13" t="inlineStr">
        <is>
          <t>Pesan menu berpromo, bayar, buka Jurnal GL</t>
        </is>
      </c>
      <c r="E286" s="13" t="inlineStr">
        <is>
          <t>Baris GL Diskon menyebut nama promonya</t>
        </is>
      </c>
      <c r="F286" s="13" t="inlineStr">
        <is>
          <t>F-PF-20, F-DS-13</t>
        </is>
      </c>
      <c r="G286" s="13" t="inlineStr"/>
      <c r="H286" s="13" t="inlineStr"/>
      <c r="I286" s="13" t="inlineStr"/>
    </row>
    <row r="287">
      <c r="A287" s="16" t="inlineStr">
        <is>
          <t>## 19c. Finance KaataGo (Super Admin)</t>
        </is>
      </c>
      <c r="B287" s="17" t="inlineStr">
        <is>
          <t>TC-PF-31</t>
        </is>
      </c>
      <c r="C287" s="18" t="inlineStr">
        <is>
          <t>P1</t>
        </is>
      </c>
      <c r="D287" s="16" t="inlineStr">
        <is>
          <t>Buka Jurnal GL Semua Resto sesudah ada tagihan langganan lunas</t>
        </is>
      </c>
      <c r="E287" s="16" t="inlineStr">
        <is>
          <t>Baris pendapatan langganan tidak muncul di sana</t>
        </is>
      </c>
      <c r="F287" s="16" t="inlineStr">
        <is>
          <t>F-PF-21</t>
        </is>
      </c>
      <c r="G287" s="16" t="inlineStr"/>
      <c r="H287" s="16" t="inlineStr"/>
      <c r="I287" s="16" t="inlineStr"/>
    </row>
    <row r="288">
      <c r="A288" s="13" t="inlineStr">
        <is>
          <t>## 19c. Finance KaataGo (Super Admin)</t>
        </is>
      </c>
      <c r="B288" s="14" t="inlineStr">
        <is>
          <t>TC-PF-32</t>
        </is>
      </c>
      <c r="C288" s="15" t="inlineStr">
        <is>
          <t>P1</t>
        </is>
      </c>
      <c r="D288" s="13" t="inlineStr">
        <is>
          <t>Buka daftar saringan resto</t>
        </is>
      </c>
      <c r="E288" s="13" t="inlineStr">
        <is>
          <t>KaataGo tidak ada di daftarnya</t>
        </is>
      </c>
      <c r="F288" s="13" t="inlineStr">
        <is>
          <t>F-PF-21</t>
        </is>
      </c>
      <c r="G288" s="13" t="inlineStr"/>
      <c r="H288" s="13" t="inlineStr"/>
      <c r="I288" s="13" t="inlineStr"/>
    </row>
    <row r="289">
      <c r="A289" s="16" t="inlineStr">
        <is>
          <t>## 19c. Finance KaataGo (Super Admin)</t>
        </is>
      </c>
      <c r="B289" s="17" t="inlineStr">
        <is>
          <t>TC-PF-33</t>
        </is>
      </c>
      <c r="C289" s="18" t="inlineStr">
        <is>
          <t>P1</t>
        </is>
      </c>
      <c r="D289" s="16" t="inlineStr">
        <is>
          <t>Buka Jurnal GL KaataGo</t>
        </is>
      </c>
      <c r="E289" s="16" t="inlineStr">
        <is>
          <t>Pendapatan langganan ada di sana, dan Saldo Total tidak nol</t>
        </is>
      </c>
      <c r="F289" s="16" t="inlineStr">
        <is>
          <t>F-PF-07</t>
        </is>
      </c>
      <c r="G289" s="16" t="inlineStr"/>
      <c r="H289" s="16" t="inlineStr"/>
      <c r="I289" s="16" t="inlineStr"/>
    </row>
    <row r="290">
      <c r="A290" s="13" t="inlineStr">
        <is>
          <t>## 19c. Finance KaataGo (Super Admin)</t>
        </is>
      </c>
      <c r="B290" s="14" t="inlineStr">
        <is>
          <t>TC-PF-34</t>
        </is>
      </c>
      <c r="C290" s="19" t="inlineStr">
        <is>
          <t>P2</t>
        </is>
      </c>
      <c r="D290" s="13" t="inlineStr">
        <is>
          <t>Periksa nomor akun di Jurnal GL KaataGo</t>
        </is>
      </c>
      <c r="E290" s="13" t="inlineStr">
        <is>
          <t>Golongan 11xxxxx, berbeda dari 19xxxxx milik resto</t>
        </is>
      </c>
      <c r="F290" s="13" t="inlineStr">
        <is>
          <t>F-PF-08</t>
        </is>
      </c>
      <c r="G290" s="13" t="inlineStr"/>
      <c r="H290" s="13" t="inlineStr"/>
      <c r="I290" s="13" t="inlineStr"/>
    </row>
    <row r="291">
      <c r="A291" s="16" t="inlineStr">
        <is>
          <t>Uji Teknis (lingkup TSD)</t>
        </is>
      </c>
      <c r="B291" s="17" t="inlineStr">
        <is>
          <t>TC-TS-01</t>
        </is>
      </c>
      <c r="C291" s="18" t="inlineStr">
        <is>
          <t>P1</t>
        </is>
      </c>
      <c r="D291" s="16" t="inlineStr">
        <is>
          <t>Panggil GET /rest/v1/orders memakai kunci anon tanpa login</t>
        </is>
      </c>
      <c r="E291" s="16" t="inlineStr">
        <is>
          <t>Tidak mengembalikan pesanan resto mana pun</t>
        </is>
      </c>
      <c r="F291" s="16" t="inlineStr">
        <is>
          <t>TSD §5</t>
        </is>
      </c>
      <c r="G291" s="16" t="inlineStr"/>
      <c r="H291" s="16" t="inlineStr"/>
      <c r="I291" s="16" t="inlineStr"/>
    </row>
    <row r="292">
      <c r="A292" s="13" t="inlineStr">
        <is>
          <t>Uji Teknis (lingkup TSD)</t>
        </is>
      </c>
      <c r="B292" s="14" t="inlineStr">
        <is>
          <t>TC-TS-02</t>
        </is>
      </c>
      <c r="C292" s="15" t="inlineStr">
        <is>
          <t>P1</t>
        </is>
      </c>
      <c r="D292" s="13" t="inlineStr">
        <is>
          <t>Login sebagai karyawan resto A, baca orders resto B lewat API</t>
        </is>
      </c>
      <c r="E292" s="13" t="inlineStr">
        <is>
          <t>Kosong — bukan galat, tapi juga bukan data</t>
        </is>
      </c>
      <c r="F292" s="13" t="inlineStr">
        <is>
          <t>TSD §5</t>
        </is>
      </c>
      <c r="G292" s="13" t="inlineStr"/>
      <c r="H292" s="13" t="inlineStr"/>
      <c r="I292" s="13" t="inlineStr"/>
    </row>
    <row r="293">
      <c r="A293" s="16" t="inlineStr">
        <is>
          <t>Uji Teknis (lingkup TSD)</t>
        </is>
      </c>
      <c r="B293" s="17" t="inlineStr">
        <is>
          <t>TC-TS-03</t>
        </is>
      </c>
      <c r="C293" s="18" t="inlineStr">
        <is>
          <t>P1</t>
        </is>
      </c>
      <c r="D293" s="16" t="inlineStr">
        <is>
          <t>Login sebagai Owner, buka tiap layar resto miliknya</t>
        </is>
      </c>
      <c r="E293" s="16" t="inlineStr">
        <is>
          <t>Tidak ada layar yang kosong karena RLS — owner harus disebut di setiap daftar peran</t>
        </is>
      </c>
      <c r="F293" s="16" t="inlineStr">
        <is>
          <t>TSD §5</t>
        </is>
      </c>
      <c r="G293" s="16" t="inlineStr"/>
      <c r="H293" s="16" t="inlineStr"/>
      <c r="I293" s="16" t="inlineStr"/>
    </row>
    <row r="294">
      <c r="A294" s="13" t="inlineStr">
        <is>
          <t>Uji Teknis (lingkup TSD)</t>
        </is>
      </c>
      <c r="B294" s="14" t="inlineStr">
        <is>
          <t>TC-TS-04</t>
        </is>
      </c>
      <c r="C294" s="15" t="inlineStr">
        <is>
          <t>P1</t>
        </is>
      </c>
      <c r="D294" s="13" t="inlineStr">
        <is>
          <t>Login sebagai Kasir, baca gl_journal_entries</t>
        </is>
      </c>
      <c r="E294" s="13" t="inlineStr">
        <is>
          <t>Hanya yang terkait catatan yang memang boleh dia lihat</t>
        </is>
      </c>
      <c r="F294" s="13" t="inlineStr">
        <is>
          <t>F-KS-13, TSD §5.1</t>
        </is>
      </c>
      <c r="G294" s="13" t="inlineStr"/>
      <c r="H294" s="13" t="inlineStr"/>
      <c r="I294" s="13" t="inlineStr"/>
    </row>
    <row r="295">
      <c r="A295" s="16" t="inlineStr">
        <is>
          <t>Uji Teknis (lingkup TSD)</t>
        </is>
      </c>
      <c r="B295" s="17" t="inlineStr">
        <is>
          <t>TC-TS-05</t>
        </is>
      </c>
      <c r="C295" s="18" t="inlineStr">
        <is>
          <t>P1</t>
        </is>
      </c>
      <c r="D295" s="16" t="inlineStr">
        <is>
          <t>Coba UPDATE products langsung lewat API sebagai pelanggan</t>
        </is>
      </c>
      <c r="E295" s="16" t="inlineStr">
        <is>
          <t>Ditolak; pengurangan stok hanya lewat decrement_stock</t>
        </is>
      </c>
      <c r="F295" s="16" t="inlineStr">
        <is>
          <t>TSD §5.2</t>
        </is>
      </c>
      <c r="G295" s="16" t="inlineStr"/>
      <c r="H295" s="16" t="inlineStr"/>
      <c r="I295" s="16" t="inlineStr"/>
    </row>
    <row r="296">
      <c r="A296" s="13" t="inlineStr">
        <is>
          <t>Uji Teknis (lingkup TSD)</t>
        </is>
      </c>
      <c r="B296" s="14" t="inlineStr">
        <is>
          <t>TC-TS-06</t>
        </is>
      </c>
      <c r="C296" s="15" t="inlineStr">
        <is>
          <t>P1</t>
        </is>
      </c>
      <c r="D296" s="13" t="inlineStr">
        <is>
          <t>Panggil cancel_my_order untuk pesanan milik orang lain</t>
        </is>
      </c>
      <c r="E296" s="13" t="inlineStr">
        <is>
          <t>Ditolak</t>
        </is>
      </c>
      <c r="F296" s="13" t="inlineStr">
        <is>
          <t>TSD §5.2</t>
        </is>
      </c>
      <c r="G296" s="13" t="inlineStr"/>
      <c r="H296" s="13" t="inlineStr"/>
      <c r="I296" s="13" t="inlineStr"/>
    </row>
    <row r="297">
      <c r="A297" s="16" t="inlineStr">
        <is>
          <t>Uji Teknis (lingkup TSD)</t>
        </is>
      </c>
      <c r="B297" s="17" t="inlineStr">
        <is>
          <t>TC-TS-07</t>
        </is>
      </c>
      <c r="C297" s="18" t="inlineStr">
        <is>
          <t>P1</t>
        </is>
      </c>
      <c r="D297" s="16" t="inlineStr">
        <is>
          <t>Jalankan ulang seluruh JALANKAN-INI.sql di database yang sudah terisi</t>
        </is>
      </c>
      <c r="E297" s="16" t="inlineStr">
        <is>
          <t>Selesai tanpa galat; tidak ada data yang berubah</t>
        </is>
      </c>
      <c r="F297" s="16" t="inlineStr">
        <is>
          <t>TSD §11</t>
        </is>
      </c>
      <c r="G297" s="16" t="inlineStr"/>
      <c r="H297" s="16" t="inlineStr"/>
      <c r="I297" s="16" t="inlineStr"/>
    </row>
    <row r="298">
      <c r="A298" s="13" t="inlineStr">
        <is>
          <t>Uji Teknis (lingkup TSD)</t>
        </is>
      </c>
      <c r="B298" s="14" t="inlineStr">
        <is>
          <t>TC-TS-08</t>
        </is>
      </c>
      <c r="C298" s="15" t="inlineStr">
        <is>
          <t>P1</t>
        </is>
      </c>
      <c r="D298" s="13" t="inlineStr">
        <is>
          <t>Jalankan ulang satu berkas SQL lama saja, misal cash_payment_expiry.sql</t>
        </is>
      </c>
      <c r="E298" s="13" t="inlineStr">
        <is>
          <t>Tidak menyempitkan daftar nilai batasan mana pun</t>
        </is>
      </c>
      <c r="F298" s="13" t="inlineStr">
        <is>
          <t>TSD §11.1</t>
        </is>
      </c>
      <c r="G298" s="13" t="inlineStr"/>
      <c r="H298" s="13" t="inlineStr"/>
      <c r="I298" s="13" t="inlineStr"/>
    </row>
    <row r="299">
      <c r="A299" s="16" t="inlineStr">
        <is>
          <t>Uji Teknis (lingkup TSD)</t>
        </is>
      </c>
      <c r="B299" s="17" t="inlineStr">
        <is>
          <t>TC-TS-09</t>
        </is>
      </c>
      <c r="C299" s="18" t="inlineStr">
        <is>
          <t>P1</t>
        </is>
      </c>
      <c r="D299" s="16" t="inlineStr">
        <is>
          <t>Buat resto baru dari Super Admin</t>
        </is>
      </c>
      <c r="E299" s="16" t="inlineStr">
        <is>
          <t>Bagan akun GL 12 jenis dan tarif PPN/service langsung terisi</t>
        </is>
      </c>
      <c r="F299" s="16" t="inlineStr">
        <is>
          <t>A-19, TSD §6.2</t>
        </is>
      </c>
      <c r="G299" s="16" t="inlineStr"/>
      <c r="H299" s="16" t="inlineStr"/>
      <c r="I299" s="16" t="inlineStr"/>
    </row>
    <row r="300">
      <c r="A300" s="13" t="inlineStr">
        <is>
          <t>Uji Teknis (lingkup TSD)</t>
        </is>
      </c>
      <c r="B300" s="14" t="inlineStr">
        <is>
          <t>TC-TS-10</t>
        </is>
      </c>
      <c r="C300" s="15" t="inlineStr">
        <is>
          <t>P1</t>
        </is>
      </c>
      <c r="D300" s="13" t="inlineStr">
        <is>
          <t>Kosongkan satu nomor GL, lalu buat transaksi</t>
        </is>
      </c>
      <c r="E300" s="13" t="inlineStr">
        <is>
          <t>Jurnal untuk baris itu tidak terbentuk — pastikan gejalanya dikenali penguji</t>
        </is>
      </c>
      <c r="F300" s="13" t="inlineStr">
        <is>
          <t>TSD §6.2</t>
        </is>
      </c>
      <c r="G300" s="13" t="inlineStr"/>
      <c r="H300" s="13" t="inlineStr"/>
      <c r="I300" s="13" t="inlineStr"/>
    </row>
    <row r="301">
      <c r="A301" s="16" t="inlineStr">
        <is>
          <t>Uji Teknis (lingkup TSD)</t>
        </is>
      </c>
      <c r="B301" s="17" t="inlineStr">
        <is>
          <t>TC-TS-11</t>
        </is>
      </c>
      <c r="C301" s="20" t="inlineStr">
        <is>
          <t>P2</t>
        </is>
      </c>
      <c r="D301" s="16" t="inlineStr">
        <is>
          <t>Periksa push_outbox sesudah pengumuman terbit</t>
        </is>
      </c>
      <c r="E301" s="16" t="inlineStr">
        <is>
          <t>Baris masuk, lalu sent_at terisi</t>
        </is>
      </c>
      <c r="F301" s="16" t="inlineStr">
        <is>
          <t>TSD §8</t>
        </is>
      </c>
      <c r="G301" s="16" t="inlineStr"/>
      <c r="H301" s="16" t="inlineStr"/>
      <c r="I301" s="16" t="inlineStr"/>
    </row>
    <row r="302">
      <c r="A302" s="13" t="inlineStr">
        <is>
          <t>Uji Teknis (lingkup TSD)</t>
        </is>
      </c>
      <c r="B302" s="14" t="inlineStr">
        <is>
          <t>TC-TS-12</t>
        </is>
      </c>
      <c r="C302" s="19" t="inlineStr">
        <is>
          <t>P2</t>
        </is>
      </c>
      <c r="D302" s="13" t="inlineStr">
        <is>
          <t>Matikan sambungan, pakai aplikasi</t>
        </is>
      </c>
      <c r="E302" s="13" t="inlineStr">
        <is>
          <t>Katalog tetap tampil; pesanan tunai tetap bisa dibuat</t>
        </is>
      </c>
      <c r="F302" s="13" t="inlineStr">
        <is>
          <t>TSD §10, FSD §5.6</t>
        </is>
      </c>
      <c r="G302" s="13" t="inlineStr"/>
      <c r="H302" s="13" t="inlineStr"/>
      <c r="I302" s="13" t="inlineStr"/>
    </row>
    <row r="303">
      <c r="A303" s="16" t="inlineStr">
        <is>
          <t>Uji Teknis (lingkup TSD)</t>
        </is>
      </c>
      <c r="B303" s="17" t="inlineStr">
        <is>
          <t>TC-TS-13</t>
        </is>
      </c>
      <c r="C303" s="20" t="inlineStr">
        <is>
          <t>P2</t>
        </is>
      </c>
      <c r="D303" s="16" t="inlineStr">
        <is>
          <t>Sambungkan lagi</t>
        </is>
      </c>
      <c r="E303" s="16" t="inlineStr">
        <is>
          <t>Pesanan yang dibuat saat luring terkirim</t>
        </is>
      </c>
      <c r="F303" s="16" t="inlineStr">
        <is>
          <t>TSD §10</t>
        </is>
      </c>
      <c r="G303" s="16" t="inlineStr"/>
      <c r="H303" s="16" t="inlineStr"/>
      <c r="I303" s="16" t="inlineStr"/>
    </row>
    <row r="304">
      <c r="A304" s="13" t="inlineStr">
        <is>
          <t>Uji Teknis (lingkup TSD)</t>
        </is>
      </c>
      <c r="B304" s="14" t="inlineStr">
        <is>
          <t>TC-TS-14</t>
        </is>
      </c>
      <c r="C304" s="15" t="inlineStr">
        <is>
          <t>P1</t>
        </is>
      </c>
      <c r="D304" s="13" t="inlineStr">
        <is>
          <t>Coba bayar QRIS saat luring</t>
        </is>
      </c>
      <c r="E304" s="13" t="inlineStr">
        <is>
          <t>Ditolak dengan jelas — bukan menggantung tanpa kabar</t>
        </is>
      </c>
      <c r="F304" s="13" t="inlineStr">
        <is>
          <t>FSD §5.6</t>
        </is>
      </c>
      <c r="G304" s="13" t="inlineStr"/>
      <c r="H304" s="13" t="inlineStr"/>
      <c r="I304" s="13" t="inlineStr"/>
    </row>
    <row r="305">
      <c r="A305" s="16" t="inlineStr">
        <is>
          <t>Uji Teknis (lingkup TSD)</t>
        </is>
      </c>
      <c r="B305" s="17" t="inlineStr">
        <is>
          <t>TC-TS-15</t>
        </is>
      </c>
      <c r="C305" s="18" t="inlineStr">
        <is>
          <t>P1</t>
        </is>
      </c>
      <c r="D305" s="16" t="inlineStr">
        <is>
          <t>Panggil create-qris dengan nominal yang dipalsukan di badan permintaan</t>
        </is>
      </c>
      <c r="E305" s="16" t="inlineStr">
        <is>
          <t>Nominal yang dipakai tetap dari basis data</t>
        </is>
      </c>
      <c r="F305" s="16" t="inlineStr">
        <is>
          <t>TSD §7.1</t>
        </is>
      </c>
      <c r="G305" s="16" t="inlineStr"/>
      <c r="H305" s="16" t="inlineStr"/>
      <c r="I305" s="16" t="inlineStr"/>
    </row>
    <row r="306">
      <c r="A306" s="13" t="inlineStr">
        <is>
          <t>Uji Teknis (lingkup TSD)</t>
        </is>
      </c>
      <c r="B306" s="14" t="inlineStr">
        <is>
          <t>TC-TS-16</t>
        </is>
      </c>
      <c r="C306" s="15" t="inlineStr">
        <is>
          <t>P1</t>
        </is>
      </c>
      <c r="D306" s="13" t="inlineStr">
        <is>
          <t>Tandai pesanan lunas lewat API tanpa lewat webhook</t>
        </is>
      </c>
      <c r="E306" s="13" t="inlineStr">
        <is>
          <t>Ditolak</t>
        </is>
      </c>
      <c r="F306" s="13" t="inlineStr">
        <is>
          <t>F-PG-02, TSD §7.1</t>
        </is>
      </c>
      <c r="G306" s="13" t="inlineStr"/>
      <c r="H306" s="13" t="inlineStr"/>
      <c r="I306" s="13" t="inlineStr"/>
    </row>
    <row r="307">
      <c r="A307" s="16" t="inlineStr">
        <is>
          <t>Uji Teknis (lingkup TSD)</t>
        </is>
      </c>
      <c r="B307" s="17" t="inlineStr">
        <is>
          <t>TC-TS-17</t>
        </is>
      </c>
      <c r="C307" s="20" t="inlineStr">
        <is>
          <t>P2</t>
        </is>
      </c>
      <c r="D307" s="16" t="inlineStr">
        <is>
          <t>Bongkar APK, cari kunci Xendit/FCM/Resend</t>
        </is>
      </c>
      <c r="E307" s="16" t="inlineStr">
        <is>
          <t>Tidak ada satu pun kunci pengirim di dalamnya</t>
        </is>
      </c>
      <c r="F307" s="16" t="inlineStr">
        <is>
          <t>TSD §1.2</t>
        </is>
      </c>
      <c r="G307" s="16" t="inlineStr"/>
      <c r="H307" s="16" t="inlineStr"/>
      <c r="I307" s="16" t="inlineStr"/>
    </row>
    <row r="308">
      <c r="A308" s="13" t="inlineStr">
        <is>
          <t>Uji Teknis (lingkup TSD)</t>
        </is>
      </c>
      <c r="B308" s="14" t="inlineStr">
        <is>
          <t>TC-TS-18</t>
        </is>
      </c>
      <c r="C308" s="19" t="inlineStr">
        <is>
          <t>P2</t>
        </is>
      </c>
      <c r="D308" s="13" t="inlineStr">
        <is>
          <t>Pesanan berpindah status lunas lebih dari sekali</t>
        </is>
      </c>
      <c r="E308" s="13" t="inlineStr">
        <is>
          <t>Jurnalnya tetap satu set — tidak ada baris ganda</t>
        </is>
      </c>
      <c r="F308" s="13" t="inlineStr">
        <is>
          <t>TSD §6.5</t>
        </is>
      </c>
      <c r="G308" s="13" t="inlineStr"/>
      <c r="H308" s="13" t="inlineStr"/>
      <c r="I308" s="13" t="inlineStr"/>
    </row>
    <row r="309">
      <c r="A309" s="16" t="inlineStr">
        <is>
          <t>Uji Teknis (lingkup TSD)</t>
        </is>
      </c>
      <c r="B309" s="17" t="inlineStr">
        <is>
          <t>TC-TS-19</t>
        </is>
      </c>
      <c r="C309" s="20" t="inlineStr">
        <is>
          <t>P2</t>
        </is>
      </c>
      <c r="D309" s="16" t="inlineStr">
        <is>
          <t>Hapus resto uji</t>
        </is>
      </c>
      <c r="E309" s="16" t="inlineStr">
        <is>
          <t>Seluruh isinya ikut terhapus, termasuk jurnalnya</t>
        </is>
      </c>
      <c r="F309" s="16" t="inlineStr">
        <is>
          <t>TSD §4.0</t>
        </is>
      </c>
      <c r="G309" s="16" t="inlineStr"/>
      <c r="H309" s="16" t="inlineStr"/>
      <c r="I309" s="16" t="inlineStr"/>
    </row>
    <row r="310">
      <c r="A310" s="13" t="inlineStr">
        <is>
          <t>Regresi — bug yang pernah terjadi</t>
        </is>
      </c>
      <c r="B310" s="14" t="inlineStr">
        <is>
          <t>TC-RG-01</t>
        </is>
      </c>
      <c r="C310" s="15" t="inlineStr">
        <is>
          <t>P1</t>
        </is>
      </c>
      <c r="D310" s="13" t="inlineStr">
        <is>
          <t>Nominal QRIS kasir memakai subtotal menu, bukan total tagihan</t>
        </is>
      </c>
      <c r="E310" s="13" t="inlineStr">
        <is>
          <t>Nominal di layar QRIS = total termasuk service dan PPN</t>
        </is>
      </c>
      <c r="F310" s="13" t="inlineStr">
        <is>
          <t>F-KS-09</t>
        </is>
      </c>
      <c r="G310" s="13" t="inlineStr"/>
      <c r="H310" s="13" t="inlineStr"/>
      <c r="I310" s="13" t="inlineStr"/>
    </row>
    <row r="311">
      <c r="A311" s="16" t="inlineStr">
        <is>
          <t>Regresi — bug yang pernah terjadi</t>
        </is>
      </c>
      <c r="B311" s="17" t="inlineStr">
        <is>
          <t>TC-RG-02</t>
        </is>
      </c>
      <c r="C311" s="18" t="inlineStr">
        <is>
          <t>P1</t>
        </is>
      </c>
      <c r="D311" s="16" t="inlineStr">
        <is>
          <t>Pesanan dilunasi lewat QRIS hilang dari Riwayat Kasir</t>
        </is>
      </c>
      <c r="E311" s="16" t="inlineStr">
        <is>
          <t>Semua cara bayar masuk Riwayat Kasir</t>
        </is>
      </c>
      <c r="F311" s="16" t="inlineStr">
        <is>
          <t>F-PP-09, A-13</t>
        </is>
      </c>
      <c r="G311" s="16" t="inlineStr"/>
      <c r="H311" s="16" t="inlineStr"/>
      <c r="I311" s="16" t="inlineStr"/>
    </row>
    <row r="312">
      <c r="A312" s="13" t="inlineStr">
        <is>
          <t>Regresi — bug yang pernah terjadi</t>
        </is>
      </c>
      <c r="B312" s="14" t="inlineStr">
        <is>
          <t>TC-RG-03</t>
        </is>
      </c>
      <c r="C312" s="15" t="inlineStr">
        <is>
          <t>P1</t>
        </is>
      </c>
      <c r="D312" s="13" t="inlineStr">
        <is>
          <t>Pesanan dibatalkan tampil "Menunggu Pembayaran" di Pesanan Masuk</t>
        </is>
      </c>
      <c r="E312" s="13" t="inlineStr">
        <is>
          <t>Tidak muncul sama sekali</t>
        </is>
      </c>
      <c r="F312" s="13" t="inlineStr">
        <is>
          <t>A-17</t>
        </is>
      </c>
      <c r="G312" s="13" t="inlineStr"/>
      <c r="H312" s="13" t="inlineStr"/>
      <c r="I312" s="13" t="inlineStr"/>
    </row>
    <row r="313">
      <c r="A313" s="16" t="inlineStr">
        <is>
          <t>Regresi — bug yang pernah terjadi</t>
        </is>
      </c>
      <c r="B313" s="17" t="inlineStr">
        <is>
          <t>TC-RG-04</t>
        </is>
      </c>
      <c r="C313" s="18" t="inlineStr">
        <is>
          <t>P1</t>
        </is>
      </c>
      <c r="D313" s="16" t="inlineStr">
        <is>
          <t>Top up Rp 100.000 tercatat Rp 200.000 di jurnal</t>
        </is>
      </c>
      <c r="E313" s="16" t="inlineStr">
        <is>
          <t>Nominalnya sama dengan yang diajukan</t>
        </is>
      </c>
      <c r="F313" s="16" t="inlineStr">
        <is>
          <t>F-FN-03</t>
        </is>
      </c>
      <c r="G313" s="16" t="inlineStr"/>
      <c r="H313" s="16" t="inlineStr"/>
      <c r="I313" s="16" t="inlineStr"/>
    </row>
    <row r="314">
      <c r="A314" s="13" t="inlineStr">
        <is>
          <t>Regresi — bug yang pernah terjadi</t>
        </is>
      </c>
      <c r="B314" s="14" t="inlineStr">
        <is>
          <t>TC-RG-05</t>
        </is>
      </c>
      <c r="C314" s="15" t="inlineStr">
        <is>
          <t>P1</t>
        </is>
      </c>
      <c r="D314" s="13" t="inlineStr">
        <is>
          <t>Diskon tidak berlaku untuk pesanan mandiri pelanggan</t>
        </is>
      </c>
      <c r="E314" s="13" t="inlineStr">
        <is>
          <t>Berlaku sama di kasir dan HP pelanggan</t>
        </is>
      </c>
      <c r="F314" s="13" t="inlineStr">
        <is>
          <t>A-14</t>
        </is>
      </c>
      <c r="G314" s="13" t="inlineStr"/>
      <c r="H314" s="13" t="inlineStr"/>
      <c r="I314" s="13" t="inlineStr"/>
    </row>
    <row r="315">
      <c r="A315" s="16" t="inlineStr">
        <is>
          <t>Regresi — bug yang pernah terjadi</t>
        </is>
      </c>
      <c r="B315" s="17" t="inlineStr">
        <is>
          <t>TC-RG-06</t>
        </is>
      </c>
      <c r="C315" s="18" t="inlineStr">
        <is>
          <t>P1</t>
        </is>
      </c>
      <c r="D315" s="16" t="inlineStr">
        <is>
          <t>Promo "beli 2" lolos oleh keranjang berisi dua menu berbeda</t>
        </is>
      </c>
      <c r="E315" s="16" t="inlineStr">
        <is>
          <t>Syarat jumlah dihitung per menu, dan seluruhnya harus terpenuhi</t>
        </is>
      </c>
      <c r="F315" s="16" t="inlineStr">
        <is>
          <t>F-DS-10, F-DS-12</t>
        </is>
      </c>
      <c r="G315" s="16" t="inlineStr"/>
      <c r="H315" s="16" t="inlineStr"/>
      <c r="I315" s="16" t="inlineStr"/>
    </row>
    <row r="316">
      <c r="A316" s="13" t="inlineStr">
        <is>
          <t>Regresi — bug yang pernah terjadi</t>
        </is>
      </c>
      <c r="B316" s="14" t="inlineStr">
        <is>
          <t>TC-RG-07</t>
        </is>
      </c>
      <c r="C316" s="19" t="inlineStr">
        <is>
          <t>P2</t>
        </is>
      </c>
      <c r="D316" s="13" t="inlineStr">
        <is>
          <t>Tombol pilih/hapus di kotak masuk tidak bereaksi sama sekali</t>
        </is>
      </c>
      <c r="E316" s="13" t="inlineStr">
        <is>
          <t>Bekerja di kotak masuk karyawan dan pelanggan</t>
        </is>
      </c>
      <c r="F316" s="13" t="inlineStr">
        <is>
          <t>F-IN-15</t>
        </is>
      </c>
      <c r="G316" s="13" t="inlineStr"/>
      <c r="H316" s="13" t="inlineStr"/>
      <c r="I316" s="13" t="inlineStr"/>
    </row>
    <row r="317">
      <c r="A317" s="16" t="inlineStr">
        <is>
          <t>Regresi — bug yang pernah terjadi</t>
        </is>
      </c>
      <c r="B317" s="17" t="inlineStr">
        <is>
          <t>TC-RG-08</t>
        </is>
      </c>
      <c r="C317" s="20" t="inlineStr">
        <is>
          <t>P2</t>
        </is>
      </c>
      <c r="D317" s="16" t="inlineStr">
        <is>
          <t>Layar Diskon dari hub Kasir menyebut "Belum ada produk di resto ini"</t>
        </is>
      </c>
      <c r="E317" s="16" t="inlineStr">
        <is>
          <t>Daftar menu termuat</t>
        </is>
      </c>
      <c r="F317" s="16" t="inlineStr">
        <is>
          <t>F-DS-01</t>
        </is>
      </c>
      <c r="G317" s="16" t="inlineStr"/>
      <c r="H317" s="16" t="inlineStr"/>
      <c r="I317" s="16" t="inlineStr"/>
    </row>
    <row r="318">
      <c r="A318" s="13" t="inlineStr">
        <is>
          <t>Regresi — bug yang pernah terjadi</t>
        </is>
      </c>
      <c r="B318" s="14" t="inlineStr">
        <is>
          <t>TC-RG-09</t>
        </is>
      </c>
      <c r="C318" s="19" t="inlineStr">
        <is>
          <t>P2</t>
        </is>
      </c>
      <c r="D318" s="13" t="inlineStr">
        <is>
          <t>Kasir tidak bisa membuka detail jurnal — terlihat seperti GL belum dipetakan</t>
        </is>
      </c>
      <c r="E318" s="13" t="inlineStr">
        <is>
          <t>Detail jurnal terbuka</t>
        </is>
      </c>
      <c r="F318" s="13" t="inlineStr">
        <is>
          <t>F-KS-13</t>
        </is>
      </c>
      <c r="G318" s="13" t="inlineStr"/>
      <c r="H318" s="13" t="inlineStr"/>
      <c r="I318" s="13" t="inlineStr"/>
    </row>
    <row r="319">
      <c r="A319" s="16" t="inlineStr">
        <is>
          <t>Regresi — bug yang pernah terjadi</t>
        </is>
      </c>
      <c r="B319" s="17" t="inlineStr">
        <is>
          <t>TC-RG-10</t>
        </is>
      </c>
      <c r="C319" s="20" t="inlineStr">
        <is>
          <t>P2</t>
        </is>
      </c>
      <c r="D319" s="16" t="inlineStr">
        <is>
          <t>Layar dapur meninggalkan jejak warna lama saat tema diganti</t>
        </is>
      </c>
      <c r="E319" s="16" t="inlineStr">
        <is>
          <t>Seluruh layar berganti bersih</t>
        </is>
      </c>
      <c r="F319" s="16" t="inlineStr">
        <is>
          <t>A-18</t>
        </is>
      </c>
      <c r="G319" s="16" t="inlineStr"/>
      <c r="H319" s="16" t="inlineStr"/>
      <c r="I319" s="16" t="inlineStr"/>
    </row>
    <row r="320">
      <c r="A320" s="13" t="inlineStr">
        <is>
          <t>Regresi — bug yang pernah terjadi</t>
        </is>
      </c>
      <c r="B320" s="14" t="inlineStr">
        <is>
          <t>TC-RG-11</t>
        </is>
      </c>
      <c r="C320" s="19" t="inlineStr">
        <is>
          <t>P2</t>
        </is>
      </c>
      <c r="D320" s="13" t="inlineStr">
        <is>
          <t>Banner promo menempel di atas, tidak ikut tergulir</t>
        </is>
      </c>
      <c r="E320" s="13" t="inlineStr">
        <is>
          <t>Ikut tergulir bersama menunya</t>
        </is>
      </c>
      <c r="F320" s="13" t="inlineStr">
        <is>
          <t>F-CU-16, A-12</t>
        </is>
      </c>
      <c r="G320" s="13" t="inlineStr"/>
      <c r="H320" s="13" t="inlineStr"/>
      <c r="I320" s="13" t="inlineStr"/>
    </row>
    <row r="321">
      <c r="A321" s="16" t="inlineStr">
        <is>
          <t>Regresi — bug yang pernah terjadi</t>
        </is>
      </c>
      <c r="B321" s="17" t="inlineStr">
        <is>
          <t>TC-RG-12</t>
        </is>
      </c>
      <c r="C321" s="20" t="inlineStr">
        <is>
          <t>P2</t>
        </is>
      </c>
      <c r="D321" s="16" t="inlineStr">
        <is>
          <t>Owner hanya bisa melihat Info Pembayaran</t>
        </is>
      </c>
      <c r="E321" s="16" t="inlineStr">
        <is>
          <t>Owner bisa mengubahnya</t>
        </is>
      </c>
      <c r="F321" s="16" t="inlineStr">
        <is>
          <t>F-SD-02</t>
        </is>
      </c>
      <c r="G321" s="16" t="inlineStr"/>
      <c r="H321" s="16" t="inlineStr"/>
      <c r="I321" s="16" t="inlineStr"/>
    </row>
    <row r="322">
      <c r="A322" s="13" t="inlineStr">
        <is>
          <t>Regresi — bug yang pernah terjadi</t>
        </is>
      </c>
      <c r="B322" s="14" t="inlineStr">
        <is>
          <t>TC-RG-13</t>
        </is>
      </c>
      <c r="C322" s="15" t="inlineStr">
        <is>
          <t>P1</t>
        </is>
      </c>
      <c r="D322" s="13" t="inlineStr">
        <is>
          <t>Migrasi gagal: daftar nilai batasan menyempit saat berkas lama dijalankan ulang</t>
        </is>
      </c>
      <c r="E322" s="13" t="inlineStr">
        <is>
          <t>Menjalankan ulang berkas mana pun tidak pernah menolak data yang sudah ada</t>
        </is>
      </c>
      <c r="F322" s="13" t="inlineStr">
        <is>
          <t>TSD §11.1</t>
        </is>
      </c>
      <c r="G322" s="13" t="inlineStr"/>
      <c r="H322" s="13" t="inlineStr"/>
      <c r="I322" s="13" t="inlineStr"/>
    </row>
    <row r="323">
      <c r="A323" s="16" t="inlineStr">
        <is>
          <t>Regresi — bug yang pernah terjadi</t>
        </is>
      </c>
      <c r="B323" s="17" t="inlineStr">
        <is>
          <t>TC-RG-14</t>
        </is>
      </c>
      <c r="C323" s="20" t="inlineStr">
        <is>
          <t>P2</t>
        </is>
      </c>
      <c r="D323" s="16" t="inlineStr">
        <is>
          <t>QR meja borongan bernomor 07, berbeda dengan mode satu meja</t>
        </is>
      </c>
      <c r="E323" s="16" t="inlineStr">
        <is>
          <t>Keduanya menulis 7</t>
        </is>
      </c>
      <c r="F323" s="16" t="inlineStr">
        <is>
          <t>F-QR-07</t>
        </is>
      </c>
      <c r="G323" s="16" t="inlineStr"/>
      <c r="H323" s="16" t="inlineStr"/>
      <c r="I323" s="16" t="inlineStr"/>
    </row>
    <row r="324">
      <c r="A324" s="13" t="inlineStr">
        <is>
          <t>Uji Ujung-ke-Ujung</t>
        </is>
      </c>
      <c r="B324" s="14" t="inlineStr">
        <is>
          <t>E2E-09</t>
        </is>
      </c>
      <c r="C324" s="15" t="inlineStr">
        <is>
          <t>P1</t>
        </is>
      </c>
      <c r="D324" s="13" t="inlineStr">
        <is>
          <t>Satu siklus langganan penuh</t>
        </is>
      </c>
      <c r="E324" s="13" t="inlineStr">
        <is>
          <t>1. Super Admin setel resto uji: Rp 150.000, jatuh tempo 3 hari lagi, tenggang 1 hari
2. Terbitkan tagihan → periksa muncul di tab Tagihan berstatus Belum Dibayar
3. Buka aplikasi sebagai Kasir → pita pengingat tampil, layar tetap bisa dipakai
4. Majukan tanggal melewati jatuh tempo + 1 hari → buka lagi → terkunci
5. Coba buat pesanan lewat API langsung → ditolak database
6. Ketuk Lihat &amp; Bayar Tagihan → Buat Virtual Account → pilih bank
7. Transfer tepat sesuai nominal ke nomor VA itu
8. Tanpa menyentuh aplikasi lagi → status jadi Lunas sendiri
9. Buka aplikasi → tidak lagi terkunci, pita hilang
10. Periksa Dashboard Xendit → dana masuk ke akun KaataGo, bukan sub-akun resto</t>
        </is>
      </c>
      <c r="F324" s="13" t="inlineStr">
        <is>
          <t>F-BL-07 … F-BL-18, TSD §7.3</t>
        </is>
      </c>
      <c r="G324" s="13" t="inlineStr"/>
      <c r="H324" s="13" t="inlineStr"/>
      <c r="I324" s="13" t="inlineStr"/>
    </row>
    <row r="325">
      <c r="A325" s="16" t="inlineStr">
        <is>
          <t>Uji Ujung-ke-Ujung</t>
        </is>
      </c>
      <c r="B325" s="17" t="inlineStr">
        <is>
          <t>E2E-01</t>
        </is>
      </c>
      <c r="C325" s="18" t="inlineStr">
        <is>
          <t>P1</t>
        </is>
      </c>
      <c r="D325" s="16" t="inlineStr">
        <is>
          <t>Pelanggan bayar QRIS</t>
        </is>
      </c>
      <c r="E325" s="16" t="inlineStr">
        <is>
          <t>1. Pelanggan scan QR meja → pilih 2 menu → Dine In → isi nama
2. Pilih QRIS → bayar sungguhan dari aplikasi bank
3. Periksa layar pelanggan → Pembayaran Berhasil, struk terbentuk
4. Periksa dapur → pesanan ada di tab Baru, bukan Menunggu Bayar
5. Dapur: Mulai Masak → centang seluruh menu → Selesai
6. Periksa pelanggan → status berubah tanpa disegarkan
7. Periksa Jurnal GL → baris pemasukan QRIS, PPN, dan service tercatat
8. Periksa Saldo → masuk Non Cash, bukan Cash</t>
        </is>
      </c>
      <c r="F325" s="16" t="inlineStr">
        <is>
          <t>F-CU-09, F-PG-02, F-CH-06, TSD §6, TSD §7.1</t>
        </is>
      </c>
      <c r="G325" s="16" t="inlineStr"/>
      <c r="H325" s="16" t="inlineStr"/>
      <c r="I325" s="16" t="inlineStr"/>
    </row>
    <row r="326">
      <c r="A326" s="13" t="inlineStr">
        <is>
          <t>Uji Ujung-ke-Ujung</t>
        </is>
      </c>
      <c r="B326" s="14" t="inlineStr">
        <is>
          <t>E2E-02</t>
        </is>
      </c>
      <c r="C326" s="15" t="inlineStr">
        <is>
          <t>P1</t>
        </is>
      </c>
      <c r="D326" s="13" t="inlineStr">
        <is>
          <t>Pelanggan bayar tunai di kasir</t>
        </is>
      </c>
      <c r="E326" s="13" t="inlineStr">
        <is>
          <t>1. Pelanggan pesan → pilih Tunai → catat nomor pesanannya
2. Periksa layar pelanggan → hitungan mundur 30 menit berjalan
3. Periksa dapur → ada di tab Menunggu Bayar, tanpa tombol masak
4. Kasir buka Pending Payment → temukan pesanan itu → terima tunai
5. Periksa antrean → pesanannya hilang seketika
6. Periksa dapur → berpindah ke tab Baru berikut tombol masak
7. Periksa Riwayat Kasir → masuk, ikut dihitung di total harian
8. Periksa Saldo Cash → bertambah sebesar totalnya</t>
        </is>
      </c>
      <c r="F326" s="13" t="inlineStr">
        <is>
          <t>F-CU-09, F-PP-01, F-PP-06, F-PP-07, F-CH-06, A-02, A-13</t>
        </is>
      </c>
      <c r="G326" s="13" t="inlineStr"/>
      <c r="H326" s="13" t="inlineStr"/>
      <c r="I326" s="13" t="inlineStr"/>
    </row>
    <row r="327">
      <c r="A327" s="16" t="inlineStr">
        <is>
          <t>Uji Ujung-ke-Ujung</t>
        </is>
      </c>
      <c r="B327" s="17" t="inlineStr">
        <is>
          <t>E2E-03</t>
        </is>
      </c>
      <c r="C327" s="18" t="inlineStr">
        <is>
          <t>P1</t>
        </is>
      </c>
      <c r="D327" s="16" t="inlineStr">
        <is>
          <t>Tunai dengan cara bayar diganti</t>
        </is>
      </c>
      <c r="E327" s="16" t="inlineStr">
        <is>
          <t>1. Ulangi E2E-02, tapi pada langkah 4 ganti cara bayarnya ke QRIS.
2. Pesanannya harus tetap masuk Riwayat Kasir, dan masuk Non Cash
3. di Saldo.</t>
        </is>
      </c>
      <c r="F327" s="16" t="inlineStr">
        <is>
          <t>F-PP-09, A-13, TSD §4.2</t>
        </is>
      </c>
      <c r="G327" s="16" t="inlineStr"/>
      <c r="H327" s="16" t="inlineStr"/>
      <c r="I327" s="16" t="inlineStr"/>
    </row>
    <row r="328">
      <c r="A328" s="13" t="inlineStr">
        <is>
          <t>Uji Ujung-ke-Ujung</t>
        </is>
      </c>
      <c r="B328" s="14" t="inlineStr">
        <is>
          <t>E2E-04</t>
        </is>
      </c>
      <c r="C328" s="15" t="inlineStr">
        <is>
          <t>P1</t>
        </is>
      </c>
      <c r="D328" s="13" t="inlineStr">
        <is>
          <t>Setor tunai ke rekening</t>
        </is>
      </c>
      <c r="E328" s="13" t="inlineStr">
        <is>
          <t>1. Kasir buka Setor Saldo Cash → catat tunai di laci
2. Ajukan setoran sebesar sebagian dari itu, lampirkan bukti
3. Periksa → status Pending; tunai di laci berkurang; muncul baris "menunggu approval" di Saldo
4. Periksa Jurnal GL → dana ada di GL Suspense Setor Tunai
5. Finance buka, cocokkan nominal, Konfirmasi
6. Periksa → status Completed
7. Periksa Jurnal GL → titipan suspense dilepas, dana masuk GL Total Saldo</t>
        </is>
      </c>
      <c r="F328" s="13" t="inlineStr">
        <is>
          <t>F-SD-01, F-SD-05, A-05, TSD §6.4</t>
        </is>
      </c>
      <c r="G328" s="13" t="inlineStr"/>
      <c r="H328" s="13" t="inlineStr"/>
      <c r="I328" s="13" t="inlineStr"/>
    </row>
    <row r="329">
      <c r="A329" s="16" t="inlineStr">
        <is>
          <t>Uji Ujung-ke-Ujung</t>
        </is>
      </c>
      <c r="B329" s="17" t="inlineStr">
        <is>
          <t>E2E-05</t>
        </is>
      </c>
      <c r="C329" s="18" t="inlineStr">
        <is>
          <t>P1</t>
        </is>
      </c>
      <c r="D329" s="16" t="inlineStr">
        <is>
          <t>Top up petty cash</t>
        </is>
      </c>
      <c r="E329" s="16" t="inlineStr">
        <is>
          <t>1. Sama polanya dengan E2E-04, lewat GL Suspense Petty Cash. Top up
2. Rp 100.000 harus menambah Petty Cash Rp 100.000 — bukan Rp 200.000.</t>
        </is>
      </c>
      <c r="F329" s="16" t="inlineStr">
        <is>
          <t>F-FN-03, TSD §6.4</t>
        </is>
      </c>
      <c r="G329" s="16" t="inlineStr"/>
      <c r="H329" s="16" t="inlineStr"/>
      <c r="I329" s="16" t="inlineStr"/>
    </row>
    <row r="330">
      <c r="A330" s="13" t="inlineStr">
        <is>
          <t>Uji Ujung-ke-Ujung</t>
        </is>
      </c>
      <c r="B330" s="14" t="inlineStr">
        <is>
          <t>E2E-06</t>
        </is>
      </c>
      <c r="C330" s="15" t="inlineStr">
        <is>
          <t>P1</t>
        </is>
      </c>
      <c r="D330" s="13" t="inlineStr">
        <is>
          <t>Promo bundling dari HP pelanggan</t>
        </is>
      </c>
      <c r="E330" s="13" t="inlineStr">
        <is>
          <t>1. Admin buat promo: Nasi Goreng Minimal 2 + Es Teh Minimal 1, potongan 30%
2. Pelanggan pesan 2 Nasi Goreng saja → tidak ada potongan
3. Tambah 1 Kopi (di luar promo) → tetap tidak ada potongan
4. Tambah 1 Es Teh → potongan muncul, dihitung dari Nasi Goreng + Es Teh saja
5. Bayar → periksa struk → potongan dan nama promonya tertulis
6. Periksa Jurnal GL → diskon tercatat debit di GL Diskon
7. Admin hapus promonya → cetak ulang struk tadi → potongannya tetap tertulis</t>
        </is>
      </c>
      <c r="F330" s="13" t="inlineStr">
        <is>
          <t>F-DS-10, F-DS-12, F-CU-17, F-DS-08, F-DS-09, A-14</t>
        </is>
      </c>
      <c r="G330" s="13" t="inlineStr"/>
      <c r="H330" s="13" t="inlineStr"/>
      <c r="I330" s="13" t="inlineStr"/>
    </row>
    <row r="331">
      <c r="A331" s="16" t="inlineStr">
        <is>
          <t>Uji Ujung-ke-Ujung</t>
        </is>
      </c>
      <c r="B331" s="17" t="inlineStr">
        <is>
          <t>E2E-07</t>
        </is>
      </c>
      <c r="C331" s="18" t="inlineStr">
        <is>
          <t>P1</t>
        </is>
      </c>
      <c r="D331" s="16" t="inlineStr">
        <is>
          <t>Pembatalan oleh pelanggan</t>
        </is>
      </c>
      <c r="E331" s="16" t="inlineStr">
        <is>
          <t>1. Pelanggan pesan, pilih Tunai
2. Batalkan dari Pesanan Saya → berhasil
3. Periksa Pending Payment → hilang
4. Periksa dapur → hilang dari semua tab
5. Periksa Pesanan Masuk → tidak ada, dan tidak berlabel "Menunggu Pembayaran"
6. Periksa Riwayat Kasir → tidak ikut terhitung</t>
        </is>
      </c>
      <c r="F331" s="16" t="inlineStr">
        <is>
          <t>F-CN-01, A-17</t>
        </is>
      </c>
      <c r="G331" s="16" t="inlineStr"/>
      <c r="H331" s="16" t="inlineStr"/>
      <c r="I331" s="16" t="inlineStr"/>
    </row>
    <row r="332">
      <c r="A332" s="13" t="inlineStr">
        <is>
          <t>Uji Ujung-ke-Ujung</t>
        </is>
      </c>
      <c r="B332" s="14" t="inlineStr">
        <is>
          <t>E2E-08</t>
        </is>
      </c>
      <c r="C332" s="15" t="inlineStr">
        <is>
          <t>P1</t>
        </is>
      </c>
      <c r="D332" s="13" t="inlineStr">
        <is>
          <t>Isolasi antar cabang</t>
        </is>
      </c>
      <c r="E332" s="13" t="inlineStr">
        <is>
          <t>1. Dengan akun Owner yang memiliki dua resto: buat transaksi, promo, dan
2. pengumuman di resto A, lalu berpindah ke resto B. Tidak satu pun
3. boleh terlihat di resto B — termasuk angka di Saldo, isi Riwayat Kasir,
4. dan kotak masuk.</t>
        </is>
      </c>
      <c r="F332" s="13" t="inlineStr">
        <is>
          <t>F-AD-08, F-IN-10, A-10</t>
        </is>
      </c>
      <c r="G332" s="13" t="inlineStr"/>
      <c r="H332" s="13" t="inlineStr"/>
      <c r="I332" s="13" t="inlineStr"/>
    </row>
  </sheetData>
  <autoFilter ref="A1:I332"/>
  <dataValidations count="1">
    <dataValidation sqref="G2:G332" showDropDown="0" showInputMessage="0" showErrorMessage="0" allowBlank="1" type="list">
      <formula1>"Lulus,Gagal,Terblokir,Dilewati"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3" customWidth="1" min="4" max="4"/>
    <col width="20" customWidth="1" min="5" max="5"/>
    <col width="20" customWidth="1" min="6" max="6"/>
    <col width="16" customWidth="1" min="7" max="7"/>
    <col width="14" customWidth="1" min="8" max="8"/>
    <col width="44" customWidth="1" min="9" max="9"/>
    <col width="52" customWidth="1" min="10" max="10"/>
    <col width="40" customWidth="1" min="11" max="11"/>
    <col width="40" customWidth="1" min="12" max="12"/>
    <col width="14" customWidth="1" min="13" max="13"/>
    <col width="12" customWidth="1" min="14" max="14"/>
    <col width="14" customWidth="1" min="15" max="15"/>
    <col width="16" customWidth="1" min="16" max="16"/>
    <col width="16" customWidth="1" min="17" max="17"/>
    <col width="15" customWidth="1" min="18" max="18"/>
    <col width="15" customWidth="1" min="19" max="19"/>
    <col width="40" customWidth="1" min="20" max="20"/>
    <col width="10" customWidth="1" min="21" max="21"/>
    <col width="34" customWidth="1" min="22" max="22"/>
  </cols>
  <sheetData>
    <row r="1">
      <c r="A1" s="23" t="inlineStr">
        <is>
          <t>Daftar Temuan</t>
        </is>
      </c>
      <c r="C1" s="24" t="inlineStr">
        <is>
          <t>Isi satu baris per temuan. Unggah tangkapan layarnya ke folder Drive, lalu tempel tautan berkasnya di kolom Link Capture.</t>
        </is>
      </c>
    </row>
    <row r="2" ht="24" customHeight="1">
      <c r="A2" s="25">
        <f>HYPERLINK("https://drive.google.com/drive/folders/1MonfUjlqV0aABrLDleDZhugd3pULLIOf?usp=sharing", "BUKA FOLDER CAPTURE")</f>
        <v/>
      </c>
      <c r="B2" s="26" t="n"/>
      <c r="C2" s="27" t="n"/>
      <c r="D2" s="28" t="inlineStr">
        <is>
          <t>Unggah ke folder itu, beri nama sesuai ID temuan (DF-001.jpg), lalu Salin Tautan berkasnya dan tempel di kolom Link Capture.</t>
        </is>
      </c>
    </row>
    <row r="4" ht="28" customHeight="1">
      <c r="A4" s="12" t="inlineStr">
        <is>
          <t>ID</t>
        </is>
      </c>
      <c r="B4" s="12" t="inlineStr">
        <is>
          <t>Tanggal</t>
        </is>
      </c>
      <c r="C4" s="12" t="inlineStr">
        <is>
          <t>Pelapor</t>
        </is>
      </c>
      <c r="D4" s="12" t="inlineStr">
        <is>
          <t>Versi APK</t>
        </is>
      </c>
      <c r="E4" s="12" t="inlineStr">
        <is>
          <t>Perangkat / OS</t>
        </is>
      </c>
      <c r="F4" s="12" t="inlineStr">
        <is>
          <t>Modul</t>
        </is>
      </c>
      <c r="G4" s="12" t="inlineStr">
        <is>
          <t>Peran / Akun</t>
        </is>
      </c>
      <c r="H4" s="12" t="inlineStr">
        <is>
          <t>TC Terkait</t>
        </is>
      </c>
      <c r="I4" s="12" t="inlineStr">
        <is>
          <t>Ringkasan</t>
        </is>
      </c>
      <c r="J4" s="12" t="inlineStr">
        <is>
          <t>Langkah Reproduksi</t>
        </is>
      </c>
      <c r="K4" s="12" t="inlineStr">
        <is>
          <t>Hasil Aktual</t>
        </is>
      </c>
      <c r="L4" s="12" t="inlineStr">
        <is>
          <t>Hasil Diharapkan</t>
        </is>
      </c>
      <c r="M4" s="12" t="inlineStr">
        <is>
          <t>Severity</t>
        </is>
      </c>
      <c r="N4" s="12" t="inlineStr">
        <is>
          <t>Prioritas</t>
        </is>
      </c>
      <c r="O4" s="12" t="inlineStr">
        <is>
          <t>Frekuensi</t>
        </is>
      </c>
      <c r="P4" s="12" t="inlineStr">
        <is>
          <t>Status</t>
        </is>
      </c>
      <c r="Q4" s="12" t="inlineStr">
        <is>
          <t>Ditugaskan ke</t>
        </is>
      </c>
      <c r="R4" s="12" t="inlineStr">
        <is>
          <t>Versi Perbaikan</t>
        </is>
      </c>
      <c r="S4" s="12" t="inlineStr">
        <is>
          <t>Tanggal Ditutup</t>
        </is>
      </c>
      <c r="T4" s="12" t="inlineStr">
        <is>
          <t>Link Capture</t>
        </is>
      </c>
      <c r="U4" s="12" t="inlineStr">
        <is>
          <t>Buka</t>
        </is>
      </c>
      <c r="V4" s="12" t="inlineStr">
        <is>
          <t>Catatan</t>
        </is>
      </c>
    </row>
    <row r="5">
      <c r="A5" s="14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29">
        <f>IF(T5="","",HYPERLINK(T5,"Buka"))</f>
        <v/>
      </c>
      <c r="V5" s="13" t="n"/>
    </row>
    <row r="6">
      <c r="A6" s="17" t="n"/>
      <c r="B6" s="16" t="n"/>
      <c r="C6" s="16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30">
        <f>IF(T6="","",HYPERLINK(T6,"Buka"))</f>
        <v/>
      </c>
      <c r="V6" s="16" t="n"/>
    </row>
    <row r="7">
      <c r="A7" s="14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29">
        <f>IF(T7="","",HYPERLINK(T7,"Buka"))</f>
        <v/>
      </c>
      <c r="V7" s="13" t="n"/>
    </row>
    <row r="8">
      <c r="A8" s="17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30">
        <f>IF(T8="","",HYPERLINK(T8,"Buka"))</f>
        <v/>
      </c>
      <c r="V8" s="16" t="n"/>
    </row>
    <row r="9">
      <c r="A9" s="14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29">
        <f>IF(T9="","",HYPERLINK(T9,"Buka"))</f>
        <v/>
      </c>
      <c r="V9" s="13" t="n"/>
    </row>
    <row r="10">
      <c r="A10" s="17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30">
        <f>IF(T10="","",HYPERLINK(T10,"Buka"))</f>
        <v/>
      </c>
      <c r="V10" s="16" t="n"/>
    </row>
    <row r="11">
      <c r="A11" s="14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29">
        <f>IF(T11="","",HYPERLINK(T11,"Buka"))</f>
        <v/>
      </c>
      <c r="V11" s="13" t="n"/>
    </row>
    <row r="12">
      <c r="A12" s="17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30">
        <f>IF(T12="","",HYPERLINK(T12,"Buka"))</f>
        <v/>
      </c>
      <c r="V12" s="16" t="n"/>
    </row>
    <row r="13">
      <c r="A13" s="14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29">
        <f>IF(T13="","",HYPERLINK(T13,"Buka"))</f>
        <v/>
      </c>
      <c r="V13" s="13" t="n"/>
    </row>
    <row r="14">
      <c r="A14" s="17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30">
        <f>IF(T14="","",HYPERLINK(T14,"Buka"))</f>
        <v/>
      </c>
      <c r="V14" s="16" t="n"/>
    </row>
    <row r="15">
      <c r="A15" s="14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29">
        <f>IF(T15="","",HYPERLINK(T15,"Buka"))</f>
        <v/>
      </c>
      <c r="V15" s="13" t="n"/>
    </row>
    <row r="16">
      <c r="A16" s="17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30">
        <f>IF(T16="","",HYPERLINK(T16,"Buka"))</f>
        <v/>
      </c>
      <c r="V16" s="16" t="n"/>
    </row>
    <row r="17">
      <c r="A17" s="14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29">
        <f>IF(T17="","",HYPERLINK(T17,"Buka"))</f>
        <v/>
      </c>
      <c r="V17" s="13" t="n"/>
    </row>
    <row r="18">
      <c r="A18" s="17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30">
        <f>IF(T18="","",HYPERLINK(T18,"Buka"))</f>
        <v/>
      </c>
      <c r="V18" s="16" t="n"/>
    </row>
    <row r="19">
      <c r="A19" s="14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29">
        <f>IF(T19="","",HYPERLINK(T19,"Buka"))</f>
        <v/>
      </c>
      <c r="V19" s="13" t="n"/>
    </row>
    <row r="20">
      <c r="A20" s="17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30">
        <f>IF(T20="","",HYPERLINK(T20,"Buka"))</f>
        <v/>
      </c>
      <c r="V20" s="16" t="n"/>
    </row>
    <row r="21">
      <c r="A21" s="14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29">
        <f>IF(T21="","",HYPERLINK(T21,"Buka"))</f>
        <v/>
      </c>
      <c r="V21" s="13" t="n"/>
    </row>
    <row r="22">
      <c r="A22" s="17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30">
        <f>IF(T22="","",HYPERLINK(T22,"Buka"))</f>
        <v/>
      </c>
      <c r="V22" s="16" t="n"/>
    </row>
    <row r="23">
      <c r="A23" s="14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29">
        <f>IF(T23="","",HYPERLINK(T23,"Buka"))</f>
        <v/>
      </c>
      <c r="V23" s="13" t="n"/>
    </row>
    <row r="24">
      <c r="A24" s="17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30">
        <f>IF(T24="","",HYPERLINK(T24,"Buka"))</f>
        <v/>
      </c>
      <c r="V24" s="16" t="n"/>
    </row>
    <row r="25">
      <c r="A25" s="14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29">
        <f>IF(T25="","",HYPERLINK(T25,"Buka"))</f>
        <v/>
      </c>
      <c r="V25" s="13" t="n"/>
    </row>
    <row r="26">
      <c r="A26" s="17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30">
        <f>IF(T26="","",HYPERLINK(T26,"Buka"))</f>
        <v/>
      </c>
      <c r="V26" s="16" t="n"/>
    </row>
    <row r="27">
      <c r="A27" s="14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29">
        <f>IF(T27="","",HYPERLINK(T27,"Buka"))</f>
        <v/>
      </c>
      <c r="V27" s="13" t="n"/>
    </row>
    <row r="28">
      <c r="A28" s="17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30">
        <f>IF(T28="","",HYPERLINK(T28,"Buka"))</f>
        <v/>
      </c>
      <c r="V28" s="16" t="n"/>
    </row>
    <row r="29">
      <c r="A29" s="14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29">
        <f>IF(T29="","",HYPERLINK(T29,"Buka"))</f>
        <v/>
      </c>
      <c r="V29" s="13" t="n"/>
    </row>
    <row r="30">
      <c r="A30" s="17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30">
        <f>IF(T30="","",HYPERLINK(T30,"Buka"))</f>
        <v/>
      </c>
      <c r="V30" s="16" t="n"/>
    </row>
    <row r="31">
      <c r="A31" s="14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29">
        <f>IF(T31="","",HYPERLINK(T31,"Buka"))</f>
        <v/>
      </c>
      <c r="V31" s="13" t="n"/>
    </row>
    <row r="32">
      <c r="A32" s="17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30">
        <f>IF(T32="","",HYPERLINK(T32,"Buka"))</f>
        <v/>
      </c>
      <c r="V32" s="16" t="n"/>
    </row>
    <row r="33">
      <c r="A33" s="14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29">
        <f>IF(T33="","",HYPERLINK(T33,"Buka"))</f>
        <v/>
      </c>
      <c r="V33" s="13" t="n"/>
    </row>
    <row r="34">
      <c r="A34" s="17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30">
        <f>IF(T34="","",HYPERLINK(T34,"Buka"))</f>
        <v/>
      </c>
      <c r="V34" s="16" t="n"/>
    </row>
    <row r="35">
      <c r="A35" s="14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29">
        <f>IF(T35="","",HYPERLINK(T35,"Buka"))</f>
        <v/>
      </c>
      <c r="V35" s="13" t="n"/>
    </row>
    <row r="36">
      <c r="A36" s="17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30">
        <f>IF(T36="","",HYPERLINK(T36,"Buka"))</f>
        <v/>
      </c>
      <c r="V36" s="16" t="n"/>
    </row>
    <row r="37">
      <c r="A37" s="14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29">
        <f>IF(T37="","",HYPERLINK(T37,"Buka"))</f>
        <v/>
      </c>
      <c r="V37" s="13" t="n"/>
    </row>
    <row r="38">
      <c r="A38" s="17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30">
        <f>IF(T38="","",HYPERLINK(T38,"Buka"))</f>
        <v/>
      </c>
      <c r="V38" s="16" t="n"/>
    </row>
    <row r="39">
      <c r="A39" s="14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29">
        <f>IF(T39="","",HYPERLINK(T39,"Buka"))</f>
        <v/>
      </c>
      <c r="V39" s="13" t="n"/>
    </row>
    <row r="40">
      <c r="A40" s="17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30">
        <f>IF(T40="","",HYPERLINK(T40,"Buka"))</f>
        <v/>
      </c>
      <c r="V40" s="16" t="n"/>
    </row>
    <row r="41">
      <c r="A41" s="14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29">
        <f>IF(T41="","",HYPERLINK(T41,"Buka"))</f>
        <v/>
      </c>
      <c r="V41" s="13" t="n"/>
    </row>
    <row r="42">
      <c r="A42" s="17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30">
        <f>IF(T42="","",HYPERLINK(T42,"Buka"))</f>
        <v/>
      </c>
      <c r="V42" s="16" t="n"/>
    </row>
    <row r="43">
      <c r="A43" s="14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29">
        <f>IF(T43="","",HYPERLINK(T43,"Buka"))</f>
        <v/>
      </c>
      <c r="V43" s="13" t="n"/>
    </row>
    <row r="44">
      <c r="A44" s="17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30">
        <f>IF(T44="","",HYPERLINK(T44,"Buka"))</f>
        <v/>
      </c>
      <c r="V44" s="16" t="n"/>
    </row>
    <row r="45">
      <c r="A45" s="14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29">
        <f>IF(T45="","",HYPERLINK(T45,"Buka"))</f>
        <v/>
      </c>
      <c r="V45" s="13" t="n"/>
    </row>
    <row r="46">
      <c r="A46" s="17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30">
        <f>IF(T46="","",HYPERLINK(T46,"Buka"))</f>
        <v/>
      </c>
      <c r="V46" s="16" t="n"/>
    </row>
    <row r="47">
      <c r="A47" s="14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29">
        <f>IF(T47="","",HYPERLINK(T47,"Buka"))</f>
        <v/>
      </c>
      <c r="V47" s="13" t="n"/>
    </row>
    <row r="48">
      <c r="A48" s="17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30">
        <f>IF(T48="","",HYPERLINK(T48,"Buka"))</f>
        <v/>
      </c>
      <c r="V48" s="16" t="n"/>
    </row>
    <row r="49">
      <c r="A49" s="14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29">
        <f>IF(T49="","",HYPERLINK(T49,"Buka"))</f>
        <v/>
      </c>
      <c r="V49" s="13" t="n"/>
    </row>
    <row r="50">
      <c r="A50" s="17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30">
        <f>IF(T50="","",HYPERLINK(T50,"Buka"))</f>
        <v/>
      </c>
      <c r="V50" s="16" t="n"/>
    </row>
    <row r="51">
      <c r="A51" s="14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29">
        <f>IF(T51="","",HYPERLINK(T51,"Buka"))</f>
        <v/>
      </c>
      <c r="V51" s="13" t="n"/>
    </row>
    <row r="52">
      <c r="A52" s="17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30">
        <f>IF(T52="","",HYPERLINK(T52,"Buka"))</f>
        <v/>
      </c>
      <c r="V52" s="16" t="n"/>
    </row>
    <row r="53">
      <c r="A53" s="14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29">
        <f>IF(T53="","",HYPERLINK(T53,"Buka"))</f>
        <v/>
      </c>
      <c r="V53" s="13" t="n"/>
    </row>
    <row r="54">
      <c r="A54" s="17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30">
        <f>IF(T54="","",HYPERLINK(T54,"Buka"))</f>
        <v/>
      </c>
      <c r="V54" s="16" t="n"/>
    </row>
    <row r="55">
      <c r="A55" s="14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29">
        <f>IF(T55="","",HYPERLINK(T55,"Buka"))</f>
        <v/>
      </c>
      <c r="V55" s="13" t="n"/>
    </row>
    <row r="56">
      <c r="A56" s="17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30">
        <f>IF(T56="","",HYPERLINK(T56,"Buka"))</f>
        <v/>
      </c>
      <c r="V56" s="16" t="n"/>
    </row>
    <row r="57">
      <c r="A57" s="14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29">
        <f>IF(T57="","",HYPERLINK(T57,"Buka"))</f>
        <v/>
      </c>
      <c r="V57" s="13" t="n"/>
    </row>
    <row r="58">
      <c r="A58" s="17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30">
        <f>IF(T58="","",HYPERLINK(T58,"Buka"))</f>
        <v/>
      </c>
      <c r="V58" s="16" t="n"/>
    </row>
    <row r="59">
      <c r="A59" s="14" t="n"/>
      <c r="B59" s="13" t="n"/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29">
        <f>IF(T59="","",HYPERLINK(T59,"Buka"))</f>
        <v/>
      </c>
      <c r="V59" s="13" t="n"/>
    </row>
    <row r="60">
      <c r="A60" s="17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30">
        <f>IF(T60="","",HYPERLINK(T60,"Buka"))</f>
        <v/>
      </c>
      <c r="V60" s="16" t="n"/>
    </row>
    <row r="61">
      <c r="A61" s="14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29">
        <f>IF(T61="","",HYPERLINK(T61,"Buka"))</f>
        <v/>
      </c>
      <c r="V61" s="13" t="n"/>
    </row>
    <row r="62">
      <c r="A62" s="17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30">
        <f>IF(T62="","",HYPERLINK(T62,"Buka"))</f>
        <v/>
      </c>
      <c r="V62" s="16" t="n"/>
    </row>
    <row r="63">
      <c r="A63" s="14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29">
        <f>IF(T63="","",HYPERLINK(T63,"Buka"))</f>
        <v/>
      </c>
      <c r="V63" s="13" t="n"/>
    </row>
    <row r="64">
      <c r="A64" s="17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30">
        <f>IF(T64="","",HYPERLINK(T64,"Buka"))</f>
        <v/>
      </c>
      <c r="V64" s="16" t="n"/>
    </row>
  </sheetData>
  <autoFilter ref="A4:V64"/>
  <mergeCells count="1">
    <mergeCell ref="A2:C2"/>
  </mergeCells>
  <dataValidations count="4">
    <dataValidation sqref="M5:M64" showDropDown="0" showInputMessage="0" showErrorMessage="0" allowBlank="1" type="list">
      <formula1>"Blocker,Major,Minor,Trivial"</formula1>
    </dataValidation>
    <dataValidation sqref="N5:N64" showDropDown="0" showInputMessage="0" showErrorMessage="0" allowBlank="1" type="list">
      <formula1>"P1,P2,P3"</formula1>
    </dataValidation>
    <dataValidation sqref="O5:O64" showDropDown="0" showInputMessage="0" showErrorMessage="0" allowBlank="1" type="list">
      <formula1>"Selalu,Kadang,Sekali saja"</formula1>
    </dataValidation>
    <dataValidation sqref="P5:P64" showDropDown="0" showInputMessage="0" showErrorMessage="0" allowBlank="1" type="list">
      <formula1>"Baru,Dikonfirmasi,Sedang diperbaiki,Menunggu retest,Ditutup,Ditolak,Duplikat"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62" customWidth="1" min="3" max="3"/>
    <col width="10" customWidth="1" min="4" max="4"/>
  </cols>
  <sheetData>
    <row r="1" ht="26" customHeight="1">
      <c r="A1" s="12" t="inlineStr">
        <is>
          <t>#</t>
        </is>
      </c>
      <c r="B1" s="12" t="inlineStr">
        <is>
          <t>Prasyarat</t>
        </is>
      </c>
      <c r="C1" s="12" t="inlineStr">
        <is>
          <t>Kenapa</t>
        </is>
      </c>
      <c r="D1" s="12" t="inlineStr">
        <is>
          <t>Siap?</t>
        </is>
      </c>
    </row>
    <row r="2">
      <c r="A2" s="17" t="inlineStr">
        <is>
          <t>L-01</t>
        </is>
      </c>
      <c r="B2" s="16" t="inlineStr">
        <is>
          <t>Seluruh berkas SQL di supabase/JALANKAN-INI.sql (27 bagian) sudah dijalankan</t>
        </is>
      </c>
      <c r="C2" s="16" t="inlineStr">
        <is>
          <t>Kolom yang belum ada membuat penyimpanan gagal dengan pesan yang menyesatkan</t>
        </is>
      </c>
      <c r="D2" s="16" t="inlineStr"/>
    </row>
    <row r="3">
      <c r="A3" s="17" t="inlineStr">
        <is>
          <t>L-02</t>
        </is>
      </c>
      <c r="B3" s="16" t="inlineStr">
        <is>
          <t>Akun tersedia untuk tiap peran: Pelanggan, Kasir, Chef, Admin, Finance, Owner, Super Admin</t>
        </is>
      </c>
      <c r="C3" s="16" t="inlineStr">
        <is>
          <t>Peran diambil dari tabel employees, bukan dari pilihan di layar</t>
        </is>
      </c>
      <c r="D3" s="16" t="inlineStr"/>
    </row>
    <row r="4">
      <c r="A4" s="17" t="inlineStr">
        <is>
          <t>L-03</t>
        </is>
      </c>
      <c r="B4" s="16" t="inlineStr">
        <is>
          <t>Minimal dua resto, dan satu akun Owner yang memiliki keduanya</t>
        </is>
      </c>
      <c r="C4" s="16" t="inlineStr">
        <is>
          <t>Isolasi antar cabang tidak bisa diuji dengan satu resto</t>
        </is>
      </c>
      <c r="D4" s="16" t="inlineStr"/>
    </row>
    <row r="5">
      <c r="A5" s="17" t="inlineStr">
        <is>
          <t>L-04</t>
        </is>
      </c>
      <c r="B5" s="16" t="inlineStr">
        <is>
          <t>Resto uji punya bagan akun GL lengkap dan tarif PPN/service terisi</t>
        </is>
      </c>
      <c r="C5" s="16" t="inlineStr">
        <is>
          <t>Baris yang GL-nya kosong dilewati pemicu jurnal — transaksinya terjadi, catatannya tidak</t>
        </is>
      </c>
      <c r="D5" s="16" t="inlineStr"/>
    </row>
    <row r="6">
      <c r="A6" s="17" t="inlineStr">
        <is>
          <t>L-05</t>
        </is>
      </c>
      <c r="B6" s="16" t="inlineStr">
        <is>
          <t>Rekening bank resto sudah diisi di Info Pembayaran</t>
        </is>
      </c>
      <c r="C6" s="16" t="inlineStr">
        <is>
          <t>Tombol setor mati tanpa ini</t>
        </is>
      </c>
      <c r="D6" s="16" t="inlineStr"/>
    </row>
    <row r="7">
      <c r="A7" s="17" t="inlineStr">
        <is>
          <t>L-06</t>
        </is>
      </c>
      <c r="B7" s="16" t="inlineStr">
        <is>
          <t>Minimal 4 produk di 2 kategori, satu di antaranya punya kelompok level</t>
        </is>
      </c>
      <c r="C7" s="16" t="inlineStr">
        <is>
          <t>Diskon bundling dan varian butuh lebih dari satu menu</t>
        </is>
      </c>
      <c r="D7" s="16" t="inlineStr"/>
    </row>
    <row r="8">
      <c r="A8" s="17" t="inlineStr">
        <is>
          <t>L-07</t>
        </is>
      </c>
      <c r="B8" s="16" t="inlineStr">
        <is>
          <t>Perangkat Android sungguhan, bukan emulator, untuk uji notifikasi dan unduhan</t>
        </is>
      </c>
      <c r="C8" s="16" t="inlineStr">
        <is>
          <t>Emulator tidak menerima FCM dengan andal</t>
        </is>
      </c>
      <c r="D8" s="16" t="inlineStr"/>
    </row>
    <row r="9">
      <c r="A9" s="17" t="inlineStr">
        <is>
          <t>L-08</t>
        </is>
      </c>
      <c r="B9" s="16" t="inlineStr">
        <is>
          <t>Izin notifikasi dan lokasi sudah diberikan</t>
        </is>
      </c>
      <c r="C9" s="16" t="inlineStr">
        <is>
          <t>Sebagian layar berperilaku berbeda sebelum izin diberikan — itu sendiri diuji terpisah</t>
        </is>
      </c>
      <c r="D9" s="16" t="inlineStr"/>
    </row>
  </sheetData>
  <dataValidations count="1">
    <dataValidation sqref="D2:D9" showDropDown="0" showInputMessage="0" showErrorMessage="0" allowBlank="1" type="list">
      <formula1>"Ya,Belum"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B21"/>
  <sheetViews>
    <sheetView workbookViewId="0">
      <selection activeCell="A1" sqref="A1"/>
    </sheetView>
  </sheetViews>
  <sheetFormatPr baseColWidth="8" defaultRowHeight="15"/>
  <cols>
    <col width="4" customWidth="1" min="1" max="1"/>
    <col width="108" customWidth="1" min="2" max="2"/>
  </cols>
  <sheetData>
    <row r="1">
      <c r="B1" s="10" t="inlineStr">
        <is>
          <t>Melampirkan tangkapan layar temuan</t>
        </is>
      </c>
    </row>
    <row r="2">
      <c r="B2" s="31" t="inlineStr"/>
    </row>
    <row r="3">
      <c r="B3" s="31" t="inlineStr">
        <is>
          <t>1.  Ambil tangkapan layar di HP saat temuannya terlihat.</t>
        </is>
      </c>
    </row>
    <row r="4">
      <c r="B4" s="31" t="inlineStr">
        <is>
          <t>2.  Klik tombol BUKA FOLDER CAPTURE di lembar Defect — folder Drive-nya terbuka di peramban.</t>
        </is>
      </c>
    </row>
    <row r="5">
      <c r="B5" s="31" t="inlineStr">
        <is>
          <t>3.  Unggah gambarnya ke sana, beri nama sesuai ID temuan: DF-001.jpg. Kalau butuh lebih dari satu, tambahkan keterangan: DF-001-sebelum.jpg, DF-001-sesudah.jpg.</t>
        </is>
      </c>
    </row>
    <row r="6">
      <c r="B6" s="31" t="inlineStr">
        <is>
          <t>4.  Klik kanan berkasnya di Drive - Bagikan - Salin tautan.</t>
        </is>
      </c>
    </row>
    <row r="7">
      <c r="B7" s="31" t="inlineStr">
        <is>
          <t>5.  Tempel tautannya di kolom Link Capture pada baris temuan itu. Kolom Buka di sebelahnya berubah sendiri jadi tautan yang bisa diklik.</t>
        </is>
      </c>
    </row>
    <row r="8">
      <c r="B8" s="31" t="inlineStr"/>
    </row>
    <row r="9">
      <c r="B9" s="10" t="inlineStr">
        <is>
          <t>Pastikan aksesnya "Siapa saja yang memiliki link"</t>
        </is>
      </c>
    </row>
    <row r="10">
      <c r="B10" s="31" t="inlineStr"/>
    </row>
    <row r="11">
      <c r="B11" s="31" t="inlineStr">
        <is>
          <t>Tautan yang hanya bisa dibuka pemiliknya sama saja dengan tidak dilampirkan: yang membaca laporan ini nanti bukan orang yang mengunggahnya, dan dia akan berhenti di halaman minta izin.</t>
        </is>
      </c>
    </row>
    <row r="12">
      <c r="B12" s="31" t="inlineStr"/>
    </row>
    <row r="13">
      <c r="B13" s="10" t="inlineStr">
        <is>
          <t>Kenapa gambarnya tidak ditempel langsung ke Excel</t>
        </is>
      </c>
    </row>
    <row r="14">
      <c r="B14" s="31" t="inlineStr"/>
    </row>
    <row r="15">
      <c r="B15" s="31" t="inlineStr">
        <is>
          <t>Satu tangkapan layar HP berukuran 300-800 KB. Tiga puluh temuan sudah cukup membuat berkas ini terlalu berat untuk dikirim lewat chat mana pun — dan berkas yang tidak bisa dikirim tidak dipakai siapa-siapa.</t>
        </is>
      </c>
    </row>
    <row r="16">
      <c r="B16" s="31" t="inlineStr"/>
    </row>
    <row r="17">
      <c r="B17" s="10" t="inlineStr">
        <is>
          <t>Kenapa tombolnya berupa tautan, bukan makro</t>
        </is>
      </c>
    </row>
    <row r="18">
      <c r="B18" s="31" t="inlineStr"/>
    </row>
    <row r="19">
      <c r="B19" s="31" t="inlineStr">
        <is>
          <t>Tombol yang menjalankan perintah di Excel butuh makro, dan makro tidak bisa mengunggah ke Google Drive tanpa kredensial API yang harus dititipkan di dalam berkasnya — kredensial di dalam berkas yang dikirim ke banyak orang sama saja dengan diumumkan.</t>
        </is>
      </c>
    </row>
    <row r="20">
      <c r="B20" s="31" t="inlineStr"/>
    </row>
    <row r="21">
      <c r="B21" s="31" t="inlineStr">
        <is>
          <t>Selain itu makro hanya hidup di berkas .xlsm: mati di Google Sheets, mati di Numbers, dan ditolak sebagian penyetelan keamanan kantor. Tautan bekerja di semuanya, dan satu klik membuka folder tempat unggahannya memang dilakukan.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2026-08-17T11:45:37Z</dcterms:created>
  <dcterms:modified xmlns:dcterms="http://purl.org/dc/terms/" xmlns:xsi="http://www.w3.org/2001/XMLSchema-instance" xsi:type="dcterms:W3CDTF">2026-08-17T11:45:39Z</dcterms:modified>
</cp:coreProperties>
</file>