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Uji'!$A$1:$I$373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Uji'!C2:C373,"P1")</f>
        <v/>
      </c>
      <c r="C5" s="5">
        <f>COUNTIFS('Kasus Uji'!C2:C373,"P1",'Kasus Uji'!G2:G373,"Lulus")</f>
        <v/>
      </c>
      <c r="D5" s="5">
        <f>COUNTIFS('Kasus Uji'!C2:C373,"P1",'Kasus Uji'!G2:G373,"Gagal")</f>
        <v/>
      </c>
      <c r="E5" s="5">
        <f>COUNTIFS('Kasus Uji'!C2:C373,"P1",'Kasus Uji'!G2:G373,"Terblokir")</f>
        <v/>
      </c>
      <c r="F5" s="5">
        <f>COUNTIFS('Kasus Uji'!C2:C373,"P1",'Kasus Uji'!G2:G373,"Dilewati")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Uji'!C2:C373,"P2")</f>
        <v/>
      </c>
      <c r="C6" s="5">
        <f>COUNTIFS('Kasus Uji'!C2:C373,"P2",'Kasus Uji'!G2:G373,"Lulus")</f>
        <v/>
      </c>
      <c r="D6" s="5">
        <f>COUNTIFS('Kasus Uji'!C2:C373,"P2",'Kasus Uji'!G2:G373,"Gagal")</f>
        <v/>
      </c>
      <c r="E6" s="5">
        <f>COUNTIFS('Kasus Uji'!C2:C373,"P2",'Kasus Uji'!G2:G373,"Terblokir")</f>
        <v/>
      </c>
      <c r="F6" s="5">
        <f>COUNTIFS('Kasus Uji'!C2:C373,"P2",'Kasus Uji'!G2:G373,"Dilewati")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Uji'!C2:C373,"P3")</f>
        <v/>
      </c>
      <c r="C7" s="5">
        <f>COUNTIFS('Kasus Uji'!C2:C373,"P3",'Kasus Uji'!G2:G373,"Lulus")</f>
        <v/>
      </c>
      <c r="D7" s="5">
        <f>COUNTIFS('Kasus Uji'!C2:C373,"P3",'Kasus Uji'!G2:G373,"Gagal")</f>
        <v/>
      </c>
      <c r="E7" s="5">
        <f>COUNTIFS('Kasus Uji'!C2:C373,"P3",'Kasus Uji'!G2:G373,"Terblokir")</f>
        <v/>
      </c>
      <c r="F7" s="5">
        <f>COUNTIFS('Kasus Uji'!C2:C373,"P3",'Kasus Uji'!G2:G373,"Dilewati")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Uji'!A2:A373,"Pelanggan")</f>
        <v/>
      </c>
      <c r="C12" s="5">
        <f>COUNTIFS('Kasus Uji'!A2:A373,"Pelanggan",'Kasus Uji'!G2:G373,"Lulus")</f>
        <v/>
      </c>
      <c r="D12" s="5">
        <f>COUNTIFS('Kasus Uji'!A2:A373,"Pelanggan",'Kasus Uji'!G2:G373,"Gagal")</f>
        <v/>
      </c>
      <c r="E12" s="5">
        <f>COUNTIFS('Kasus Uji'!A2:A373,"Pelanggan",'Kasus Uji'!G2:G373,"Terblokir")</f>
        <v/>
      </c>
      <c r="F12" s="5">
        <f>COUNTIFS('Kasus Uji'!A2:A373,"Pelanggan",'Kasus Uji'!G2:G373,"Dilewati")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Uji'!A2:A373,"Kasir")</f>
        <v/>
      </c>
      <c r="C13" s="5">
        <f>COUNTIFS('Kasus Uji'!A2:A373,"Kasir",'Kasus Uji'!G2:G373,"Lulus")</f>
        <v/>
      </c>
      <c r="D13" s="5">
        <f>COUNTIFS('Kasus Uji'!A2:A373,"Kasir",'Kasus Uji'!G2:G373,"Gagal")</f>
        <v/>
      </c>
      <c r="E13" s="5">
        <f>COUNTIFS('Kasus Uji'!A2:A373,"Kasir",'Kasus Uji'!G2:G373,"Terblokir")</f>
        <v/>
      </c>
      <c r="F13" s="5">
        <f>COUNTIFS('Kasus Uji'!A2:A373,"Kasir",'Kasus Uji'!G2:G373,"Dilewati")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Uji'!A2:A373,"Pending Payment")</f>
        <v/>
      </c>
      <c r="C14" s="5">
        <f>COUNTIFS('Kasus Uji'!A2:A373,"Pending Payment",'Kasus Uji'!G2:G373,"Lulus")</f>
        <v/>
      </c>
      <c r="D14" s="5">
        <f>COUNTIFS('Kasus Uji'!A2:A373,"Pending Payment",'Kasus Uji'!G2:G373,"Gagal")</f>
        <v/>
      </c>
      <c r="E14" s="5">
        <f>COUNTIFS('Kasus Uji'!A2:A373,"Pending Payment",'Kasus Uji'!G2:G373,"Terblokir")</f>
        <v/>
      </c>
      <c r="F14" s="5">
        <f>COUNTIFS('Kasus Uji'!A2:A373,"Pending Payment",'Kasus Uji'!G2:G373,"Dilewati")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Uji'!A2:A373,"Dapur")</f>
        <v/>
      </c>
      <c r="C15" s="5">
        <f>COUNTIFS('Kasus Uji'!A2:A373,"Dapur",'Kasus Uji'!G2:G373,"Lulus")</f>
        <v/>
      </c>
      <c r="D15" s="5">
        <f>COUNTIFS('Kasus Uji'!A2:A373,"Dapur",'Kasus Uji'!G2:G373,"Gagal")</f>
        <v/>
      </c>
      <c r="E15" s="5">
        <f>COUNTIFS('Kasus Uji'!A2:A373,"Dapur",'Kasus Uji'!G2:G373,"Terblokir")</f>
        <v/>
      </c>
      <c r="F15" s="5">
        <f>COUNTIFS('Kasus Uji'!A2:A373,"Dapur",'Kasus Uji'!G2:G373,"Dilewati")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Uji'!A2:A373,"Keuangan")</f>
        <v/>
      </c>
      <c r="C16" s="5">
        <f>COUNTIFS('Kasus Uji'!A2:A373,"Keuangan",'Kasus Uji'!G2:G373,"Lulus")</f>
        <v/>
      </c>
      <c r="D16" s="5">
        <f>COUNTIFS('Kasus Uji'!A2:A373,"Keuangan",'Kasus Uji'!G2:G373,"Gagal")</f>
        <v/>
      </c>
      <c r="E16" s="5">
        <f>COUNTIFS('Kasus Uji'!A2:A373,"Keuangan",'Kasus Uji'!G2:G373,"Terblokir")</f>
        <v/>
      </c>
      <c r="F16" s="5">
        <f>COUNTIFS('Kasus Uji'!A2:A373,"Keuangan",'Kasus Uji'!G2:G373,"Dilewati")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Uji'!A2:A373,"Setor Saldo Cash")</f>
        <v/>
      </c>
      <c r="C17" s="5">
        <f>COUNTIFS('Kasus Uji'!A2:A373,"Setor Saldo Cash",'Kasus Uji'!G2:G373,"Lulus")</f>
        <v/>
      </c>
      <c r="D17" s="5">
        <f>COUNTIFS('Kasus Uji'!A2:A373,"Setor Saldo Cash",'Kasus Uji'!G2:G373,"Gagal")</f>
        <v/>
      </c>
      <c r="E17" s="5">
        <f>COUNTIFS('Kasus Uji'!A2:A373,"Setor Saldo Cash",'Kasus Uji'!G2:G373,"Terblokir")</f>
        <v/>
      </c>
      <c r="F17" s="5">
        <f>COUNTIFS('Kasus Uji'!A2:A373,"Setor Saldo Cash",'Kasus Uji'!G2:G373,"Dilewati")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Uji'!A2:A373,"Katalog &amp; Pengaturan")</f>
        <v/>
      </c>
      <c r="C18" s="5">
        <f>COUNTIFS('Kasus Uji'!A2:A373,"Katalog &amp; Pengaturan",'Kasus Uji'!G2:G373,"Lulus")</f>
        <v/>
      </c>
      <c r="D18" s="5">
        <f>COUNTIFS('Kasus Uji'!A2:A373,"Katalog &amp; Pengaturan",'Kasus Uji'!G2:G373,"Gagal")</f>
        <v/>
      </c>
      <c r="E18" s="5">
        <f>COUNTIFS('Kasus Uji'!A2:A373,"Katalog &amp; Pengaturan",'Kasus Uji'!G2:G373,"Terblokir")</f>
        <v/>
      </c>
      <c r="F18" s="5">
        <f>COUNTIFS('Kasus Uji'!A2:A373,"Katalog &amp; Pengaturan",'Kasus Uji'!G2:G373,"Dilewati")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Uji'!A2:A373,"QR Meja")</f>
        <v/>
      </c>
      <c r="C19" s="5">
        <f>COUNTIFS('Kasus Uji'!A2:A373,"QR Meja",'Kasus Uji'!G2:G373,"Lulus")</f>
        <v/>
      </c>
      <c r="D19" s="5">
        <f>COUNTIFS('Kasus Uji'!A2:A373,"QR Meja",'Kasus Uji'!G2:G373,"Gagal")</f>
        <v/>
      </c>
      <c r="E19" s="5">
        <f>COUNTIFS('Kasus Uji'!A2:A373,"QR Meja",'Kasus Uji'!G2:G373,"Terblokir")</f>
        <v/>
      </c>
      <c r="F19" s="5">
        <f>COUNTIFS('Kasus Uji'!A2:A373,"QR Meja",'Kasus Uji'!G2:G373,"Dilewati")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Uji'!A2:A373,"Diskon")</f>
        <v/>
      </c>
      <c r="C20" s="5">
        <f>COUNTIFS('Kasus Uji'!A2:A373,"Diskon",'Kasus Uji'!G2:G373,"Lulus")</f>
        <v/>
      </c>
      <c r="D20" s="5">
        <f>COUNTIFS('Kasus Uji'!A2:A373,"Diskon",'Kasus Uji'!G2:G373,"Gagal")</f>
        <v/>
      </c>
      <c r="E20" s="5">
        <f>COUNTIFS('Kasus Uji'!A2:A373,"Diskon",'Kasus Uji'!G2:G373,"Terblokir")</f>
        <v/>
      </c>
      <c r="F20" s="5">
        <f>COUNTIFS('Kasus Uji'!A2:A373,"Diskon",'Kasus Uji'!G2:G373,"Dilewati")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Uji'!A2:A373,"Kotak Masuk &amp; Pengumuman")</f>
        <v/>
      </c>
      <c r="C21" s="5">
        <f>COUNTIFS('Kasus Uji'!A2:A373,"Kotak Masuk &amp; Pengumuman",'Kasus Uji'!G2:G373,"Lulus")</f>
        <v/>
      </c>
      <c r="D21" s="5">
        <f>COUNTIFS('Kasus Uji'!A2:A373,"Kotak Masuk &amp; Pengumuman",'Kasus Uji'!G2:G373,"Gagal")</f>
        <v/>
      </c>
      <c r="E21" s="5">
        <f>COUNTIFS('Kasus Uji'!A2:A373,"Kotak Masuk &amp; Pengumuman",'Kasus Uji'!G2:G373,"Terblokir")</f>
        <v/>
      </c>
      <c r="F21" s="5">
        <f>COUNTIFS('Kasus Uji'!A2:A373,"Kotak Masuk &amp; Pengumuman",'Kasus Uji'!G2:G373,"Dilewati")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Uji'!A2:A373,"Pembayaran QRIS")</f>
        <v/>
      </c>
      <c r="C22" s="5">
        <f>COUNTIFS('Kasus Uji'!A2:A373,"Pembayaran QRIS",'Kasus Uji'!G2:G373,"Lulus")</f>
        <v/>
      </c>
      <c r="D22" s="5">
        <f>COUNTIFS('Kasus Uji'!A2:A373,"Pembayaran QRIS",'Kasus Uji'!G2:G373,"Gagal")</f>
        <v/>
      </c>
      <c r="E22" s="5">
        <f>COUNTIFS('Kasus Uji'!A2:A373,"Pembayaran QRIS",'Kasus Uji'!G2:G373,"Terblokir")</f>
        <v/>
      </c>
      <c r="F22" s="5">
        <f>COUNTIFS('Kasus Uji'!A2:A373,"Pembayaran QRIS",'Kasus Uji'!G2:G373,"Dilewati")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Uji'!A2:A373,"Pembatalan &amp; Kedaluwarsa")</f>
        <v/>
      </c>
      <c r="C23" s="5">
        <f>COUNTIFS('Kasus Uji'!A2:A373,"Pembatalan &amp; Kedaluwarsa",'Kasus Uji'!G2:G373,"Lulus")</f>
        <v/>
      </c>
      <c r="D23" s="5">
        <f>COUNTIFS('Kasus Uji'!A2:A373,"Pembatalan &amp; Kedaluwarsa",'Kasus Uji'!G2:G373,"Gagal")</f>
        <v/>
      </c>
      <c r="E23" s="5">
        <f>COUNTIFS('Kasus Uji'!A2:A373,"Pembatalan &amp; Kedaluwarsa",'Kasus Uji'!G2:G373,"Terblokir")</f>
        <v/>
      </c>
      <c r="F23" s="5">
        <f>COUNTIFS('Kasus Uji'!A2:A373,"Pembatalan &amp; Kedaluwarsa",'Kasus Uji'!G2:G373,"Dilewati")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Uji'!A2:A373,"Sesi Meja &amp; Identitas")</f>
        <v/>
      </c>
      <c r="C24" s="5">
        <f>COUNTIFS('Kasus Uji'!A2:A373,"Sesi Meja &amp; Identitas",'Kasus Uji'!G2:G373,"Lulus")</f>
        <v/>
      </c>
      <c r="D24" s="5">
        <f>COUNTIFS('Kasus Uji'!A2:A373,"Sesi Meja &amp; Identitas",'Kasus Uji'!G2:G373,"Gagal")</f>
        <v/>
      </c>
      <c r="E24" s="5">
        <f>COUNTIFS('Kasus Uji'!A2:A373,"Sesi Meja &amp; Identitas",'Kasus Uji'!G2:G373,"Terblokir")</f>
        <v/>
      </c>
      <c r="F24" s="5">
        <f>COUNTIFS('Kasus Uji'!A2:A373,"Sesi Meja &amp; Identitas",'Kasus Uji'!G2:G373,"Dilewati")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Uji'!A2:A373,"Tampilan")</f>
        <v/>
      </c>
      <c r="C25" s="5">
        <f>COUNTIFS('Kasus Uji'!A2:A373,"Tampilan",'Kasus Uji'!G2:G373,"Lulus")</f>
        <v/>
      </c>
      <c r="D25" s="5">
        <f>COUNTIFS('Kasus Uji'!A2:A373,"Tampilan",'Kasus Uji'!G2:G373,"Gagal")</f>
        <v/>
      </c>
      <c r="E25" s="5">
        <f>COUNTIFS('Kasus Uji'!A2:A373,"Tampilan",'Kasus Uji'!G2:G373,"Terblokir")</f>
        <v/>
      </c>
      <c r="F25" s="5">
        <f>COUNTIFS('Kasus Uji'!A2:A373,"Tampilan",'Kasus Uji'!G2:G373,"Dilewati")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Uji'!A2:A373,"Super Admin")</f>
        <v/>
      </c>
      <c r="C26" s="5">
        <f>COUNTIFS('Kasus Uji'!A2:A373,"Super Admin",'Kasus Uji'!G2:G373,"Lulus")</f>
        <v/>
      </c>
      <c r="D26" s="5">
        <f>COUNTIFS('Kasus Uji'!A2:A373,"Super Admin",'Kasus Uji'!G2:G373,"Gagal")</f>
        <v/>
      </c>
      <c r="E26" s="5">
        <f>COUNTIFS('Kasus Uji'!A2:A373,"Super Admin",'Kasus Uji'!G2:G373,"Terblokir")</f>
        <v/>
      </c>
      <c r="F26" s="5">
        <f>COUNTIFS('Kasus Uji'!A2:A373,"Super Admin",'Kasus Uji'!G2:G373,"Dilewati")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Uji'!A2:A373,"Pembaruan Aplikasi")</f>
        <v/>
      </c>
      <c r="C27" s="5">
        <f>COUNTIFS('Kasus Uji'!A2:A373,"Pembaruan Aplikasi",'Kasus Uji'!G2:G373,"Lulus")</f>
        <v/>
      </c>
      <c r="D27" s="5">
        <f>COUNTIFS('Kasus Uji'!A2:A373,"Pembaruan Aplikasi",'Kasus Uji'!G2:G373,"Gagal")</f>
        <v/>
      </c>
      <c r="E27" s="5">
        <f>COUNTIFS('Kasus Uji'!A2:A373,"Pembaruan Aplikasi",'Kasus Uji'!G2:G373,"Terblokir")</f>
        <v/>
      </c>
      <c r="F27" s="5">
        <f>COUNTIFS('Kasus Uji'!A2:A373,"Pembaruan Aplikasi",'Kasus Uji'!G2:G373,"Dilewati")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Uji'!A2:A373,"## 19b. Langganan &amp; Tagihan Resto")</f>
        <v/>
      </c>
      <c r="C28" s="5">
        <f>COUNTIFS('Kasus Uji'!A2:A373,"## 19b. Langganan &amp; Tagihan Resto",'Kasus Uji'!G2:G373,"Lulus")</f>
        <v/>
      </c>
      <c r="D28" s="5">
        <f>COUNTIFS('Kasus Uji'!A2:A373,"## 19b. Langganan &amp; Tagihan Resto",'Kasus Uji'!G2:G373,"Gagal")</f>
        <v/>
      </c>
      <c r="E28" s="5">
        <f>COUNTIFS('Kasus Uji'!A2:A373,"## 19b. Langganan &amp; Tagihan Resto",'Kasus Uji'!G2:G373,"Terblokir")</f>
        <v/>
      </c>
      <c r="F28" s="5">
        <f>COUNTIFS('Kasus Uji'!A2:A373,"## 19b. Langganan &amp; Tagihan Resto",'Kasus Uji'!G2:G373,"Dilewati")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Uji'!A2:A373,"## 19c. Finance KaataGo (Super Admin)")</f>
        <v/>
      </c>
      <c r="C29" s="5">
        <f>COUNTIFS('Kasus Uji'!A2:A373,"## 19c. Finance KaataGo (Super Admin)",'Kasus Uji'!G2:G373,"Lulus")</f>
        <v/>
      </c>
      <c r="D29" s="5">
        <f>COUNTIFS('Kasus Uji'!A2:A373,"## 19c. Finance KaataGo (Super Admin)",'Kasus Uji'!G2:G373,"Gagal")</f>
        <v/>
      </c>
      <c r="E29" s="5">
        <f>COUNTIFS('Kasus Uji'!A2:A373,"## 19c. Finance KaataGo (Super Admin)",'Kasus Uji'!G2:G373,"Terblokir")</f>
        <v/>
      </c>
      <c r="F29" s="5">
        <f>COUNTIFS('Kasus Uji'!A2:A373,"## 19c. Finance KaataGo (Super Admin)",'Kasus Uji'!G2:G373,"Dilewati")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Uji'!A2:A373,"## 19d. Voucher Pelanggan")</f>
        <v/>
      </c>
      <c r="C30" s="5">
        <f>COUNTIFS('Kasus Uji'!A2:A373,"## 19d. Voucher Pelanggan",'Kasus Uji'!G2:G373,"Lulus")</f>
        <v/>
      </c>
      <c r="D30" s="5">
        <f>COUNTIFS('Kasus Uji'!A2:A373,"## 19d. Voucher Pelanggan",'Kasus Uji'!G2:G373,"Gagal")</f>
        <v/>
      </c>
      <c r="E30" s="5">
        <f>COUNTIFS('Kasus Uji'!A2:A373,"## 19d. Voucher Pelanggan",'Kasus Uji'!G2:G373,"Terblokir")</f>
        <v/>
      </c>
      <c r="F30" s="5">
        <f>COUNTIFS('Kasus Uji'!A2:A373,"## 19d. Voucher Pelanggan",'Kasus Uji'!G2:G373,"Dilewati")</f>
        <v/>
      </c>
      <c r="G30" s="5">
        <f>B30-SUM(C30:F30)</f>
        <v/>
      </c>
    </row>
    <row r="31">
      <c r="A31" s="4" t="inlineStr">
        <is>
          <t>Uji Teknis (lingkup TSD)</t>
        </is>
      </c>
      <c r="B31" s="5">
        <f>COUNTIF('Kasus Uji'!A2:A373,"Uji Teknis (lingkup TSD)")</f>
        <v/>
      </c>
      <c r="C31" s="5">
        <f>COUNTIFS('Kasus Uji'!A2:A373,"Uji Teknis (lingkup TSD)",'Kasus Uji'!G2:G373,"Lulus")</f>
        <v/>
      </c>
      <c r="D31" s="5">
        <f>COUNTIFS('Kasus Uji'!A2:A373,"Uji Teknis (lingkup TSD)",'Kasus Uji'!G2:G373,"Gagal")</f>
        <v/>
      </c>
      <c r="E31" s="5">
        <f>COUNTIFS('Kasus Uji'!A2:A373,"Uji Teknis (lingkup TSD)",'Kasus Uji'!G2:G373,"Terblokir")</f>
        <v/>
      </c>
      <c r="F31" s="5">
        <f>COUNTIFS('Kasus Uji'!A2:A373,"Uji Teknis (lingkup TSD)",'Kasus Uji'!G2:G373,"Dilewati")</f>
        <v/>
      </c>
      <c r="G31" s="5">
        <f>B31-SUM(C31:F31)</f>
        <v/>
      </c>
    </row>
    <row r="32">
      <c r="A32" s="4" t="inlineStr">
        <is>
          <t>Regresi — bug yang pernah terjadi</t>
        </is>
      </c>
      <c r="B32" s="5">
        <f>COUNTIF('Kasus Uji'!A2:A373,"Regresi — bug yang pernah terjadi")</f>
        <v/>
      </c>
      <c r="C32" s="5">
        <f>COUNTIFS('Kasus Uji'!A2:A373,"Regresi — bug yang pernah terjadi",'Kasus Uji'!G2:G373,"Lulus")</f>
        <v/>
      </c>
      <c r="D32" s="5">
        <f>COUNTIFS('Kasus Uji'!A2:A373,"Regresi — bug yang pernah terjadi",'Kasus Uji'!G2:G373,"Gagal")</f>
        <v/>
      </c>
      <c r="E32" s="5">
        <f>COUNTIFS('Kasus Uji'!A2:A373,"Regresi — bug yang pernah terjadi",'Kasus Uji'!G2:G373,"Terblokir")</f>
        <v/>
      </c>
      <c r="F32" s="5">
        <f>COUNTIFS('Kasus Uji'!A2:A373,"Regresi — bug yang pernah terjadi",'Kasus Uji'!G2:G373,"Dilewati")</f>
        <v/>
      </c>
      <c r="G32" s="5">
        <f>B32-SUM(C32:F32)</f>
        <v/>
      </c>
    </row>
    <row r="33">
      <c r="A33" s="4" t="inlineStr">
        <is>
          <t>Uji Ujung-ke-Ujung</t>
        </is>
      </c>
      <c r="B33" s="5">
        <f>COUNTIF('Kasus Uji'!A2:A373,"Uji Ujung-ke-Ujung")</f>
        <v/>
      </c>
      <c r="C33" s="5">
        <f>COUNTIFS('Kasus Uji'!A2:A373,"Uji Ujung-ke-Ujung",'Kasus Uji'!G2:G373,"Lulus")</f>
        <v/>
      </c>
      <c r="D33" s="5">
        <f>COUNTIFS('Kasus Uji'!A2:A373,"Uji Ujung-ke-Ujung",'Kasus Uji'!G2:G373,"Gagal")</f>
        <v/>
      </c>
      <c r="E33" s="5">
        <f>COUNTIFS('Kasus Uji'!A2:A373,"Uji Ujung-ke-Ujung",'Kasus Uji'!G2:G373,"Terblokir")</f>
        <v/>
      </c>
      <c r="F33" s="5">
        <f>COUNTIFS('Kasus Uji'!A2:A373,"Uji Ujung-ke-Ujung",'Kasus Uji'!G2:G373,"Dilewati")</f>
        <v/>
      </c>
      <c r="G33" s="5">
        <f>B33-SUM(C33:F33)</f>
        <v/>
      </c>
    </row>
    <row r="35">
      <c r="A35" s="9" t="inlineStr">
        <is>
          <t>Rilis ditahan selama masih ada P1 yang Gagal.</t>
        </is>
      </c>
    </row>
    <row r="37">
      <c r="A37" s="10" t="inlineStr">
        <is>
          <t>Temuan</t>
        </is>
      </c>
    </row>
    <row r="38">
      <c r="A38" s="11" t="inlineStr">
        <is>
          <t>Severity</t>
        </is>
      </c>
      <c r="B38" s="3" t="inlineStr">
        <is>
          <t>Jumlah</t>
        </is>
      </c>
      <c r="C38" s="3" t="inlineStr">
        <is>
          <t>Baru</t>
        </is>
      </c>
      <c r="D38" s="3" t="inlineStr">
        <is>
          <t>Dikonfirmasi</t>
        </is>
      </c>
      <c r="E38" s="3" t="inlineStr">
        <is>
          <t>Sedang diperbaiki</t>
        </is>
      </c>
      <c r="F38" s="3" t="inlineStr">
        <is>
          <t>Menunggu retest</t>
        </is>
      </c>
      <c r="G38" s="3" t="inlineStr">
        <is>
          <t>Ditutup</t>
        </is>
      </c>
    </row>
    <row r="39">
      <c r="A39" s="4" t="inlineStr">
        <is>
          <t>Blocker</t>
        </is>
      </c>
      <c r="B39" s="5">
        <f>COUNTIF(Defect!M5:M64,"Blocker")</f>
        <v/>
      </c>
      <c r="C39" s="5">
        <f>COUNTIFS(Defect!M5:M64,"Blocker",Defect!P5:P64,"Baru")</f>
        <v/>
      </c>
      <c r="D39" s="5">
        <f>COUNTIFS(Defect!M5:M64,"Blocker",Defect!P5:P64,"Dikonfirmasi")</f>
        <v/>
      </c>
      <c r="E39" s="5">
        <f>COUNTIFS(Defect!M5:M64,"Blocker",Defect!P5:P64,"Sedang diperbaiki")</f>
        <v/>
      </c>
      <c r="F39" s="5">
        <f>COUNTIFS(Defect!M5:M64,"Blocker",Defect!P5:P64,"Menunggu retest")</f>
        <v/>
      </c>
      <c r="G39" s="5">
        <f>COUNTIFS(Defect!M5:M64,"Blocker",Defect!P5:P64,"Ditutup")</f>
        <v/>
      </c>
    </row>
    <row r="40">
      <c r="A40" s="4" t="inlineStr">
        <is>
          <t>Major</t>
        </is>
      </c>
      <c r="B40" s="5">
        <f>COUNTIF(Defect!M5:M64,"Major")</f>
        <v/>
      </c>
      <c r="C40" s="5">
        <f>COUNTIFS(Defect!M5:M64,"Major",Defect!P5:P64,"Baru")</f>
        <v/>
      </c>
      <c r="D40" s="5">
        <f>COUNTIFS(Defect!M5:M64,"Major",Defect!P5:P64,"Dikonfirmasi")</f>
        <v/>
      </c>
      <c r="E40" s="5">
        <f>COUNTIFS(Defect!M5:M64,"Major",Defect!P5:P64,"Sedang diperbaiki")</f>
        <v/>
      </c>
      <c r="F40" s="5">
        <f>COUNTIFS(Defect!M5:M64,"Major",Defect!P5:P64,"Menunggu retest")</f>
        <v/>
      </c>
      <c r="G40" s="5">
        <f>COUNTIFS(Defect!M5:M64,"Major",Defect!P5:P64,"Ditutup")</f>
        <v/>
      </c>
    </row>
    <row r="41">
      <c r="A41" s="4" t="inlineStr">
        <is>
          <t>Minor</t>
        </is>
      </c>
      <c r="B41" s="5">
        <f>COUNTIF(Defect!M5:M64,"Minor")</f>
        <v/>
      </c>
      <c r="C41" s="5">
        <f>COUNTIFS(Defect!M5:M64,"Minor",Defect!P5:P64,"Baru")</f>
        <v/>
      </c>
      <c r="D41" s="5">
        <f>COUNTIFS(Defect!M5:M64,"Minor",Defect!P5:P64,"Dikonfirmasi")</f>
        <v/>
      </c>
      <c r="E41" s="5">
        <f>COUNTIFS(Defect!M5:M64,"Minor",Defect!P5:P64,"Sedang diperbaiki")</f>
        <v/>
      </c>
      <c r="F41" s="5">
        <f>COUNTIFS(Defect!M5:M64,"Minor",Defect!P5:P64,"Menunggu retest")</f>
        <v/>
      </c>
      <c r="G41" s="5">
        <f>COUNTIFS(Defect!M5:M64,"Minor",Defect!P5:P64,"Ditutup")</f>
        <v/>
      </c>
    </row>
    <row r="42">
      <c r="A42" s="4" t="inlineStr">
        <is>
          <t>Trivial</t>
        </is>
      </c>
      <c r="B42" s="5">
        <f>COUNTIF(Defect!M5:M64,"Trivial")</f>
        <v/>
      </c>
      <c r="C42" s="5">
        <f>COUNTIFS(Defect!M5:M64,"Trivial",Defect!P5:P64,"Baru")</f>
        <v/>
      </c>
      <c r="D42" s="5">
        <f>COUNTIFS(Defect!M5:M64,"Trivial",Defect!P5:P64,"Dikonfirmasi")</f>
        <v/>
      </c>
      <c r="E42" s="5">
        <f>COUNTIFS(Defect!M5:M64,"Trivial",Defect!P5:P64,"Sedang diperbaiki")</f>
        <v/>
      </c>
      <c r="F42" s="5">
        <f>COUNTIFS(Defect!M5:M64,"Trivial",Defect!P5:P64,"Menunggu retest")</f>
        <v/>
      </c>
      <c r="G42" s="5">
        <f>COUNTIFS(Defect!M5:M64,"Trivial",Defect!P5:P64,"Ditutup")</f>
        <v/>
      </c>
    </row>
    <row r="43">
      <c r="A43" s="6" t="inlineStr">
        <is>
          <t>TOTAL</t>
        </is>
      </c>
      <c r="B43" s="7">
        <f>SUM(B39:B42)</f>
        <v/>
      </c>
      <c r="C43" s="7">
        <f>SUM(C39:C42)</f>
        <v/>
      </c>
      <c r="D43" s="7">
        <f>SUM(D39:D42)</f>
        <v/>
      </c>
      <c r="E43" s="7">
        <f>SUM(E39:E42)</f>
        <v/>
      </c>
      <c r="F43" s="7">
        <f>SUM(F39:F42)</f>
        <v/>
      </c>
      <c r="G43" s="7">
        <f>SUM(G39:G42)</f>
        <v/>
      </c>
    </row>
    <row r="45">
      <c r="A45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Pembatalan &amp; Kedaluwarsa</t>
        </is>
      </c>
      <c r="B185" s="17" t="inlineStr">
        <is>
          <t>TC-CN-01</t>
        </is>
      </c>
      <c r="C185" s="18" t="inlineStr">
        <is>
          <t>P1</t>
        </is>
      </c>
      <c r="D185" s="16" t="inlineStr">
        <is>
          <t>Pesanan belum dibayar → Pesanan Saya → Batalkan</t>
        </is>
      </c>
      <c r="E185" s="16" t="inlineStr">
        <is>
          <t>Berhasil; statusnya jadi Dibatalkan</t>
        </is>
      </c>
      <c r="F185" s="16" t="inlineStr">
        <is>
          <t>F-CN-01, F-CN-02</t>
        </is>
      </c>
      <c r="G185" s="16" t="inlineStr"/>
      <c r="H185" s="16" t="inlineStr"/>
      <c r="I185" s="16" t="inlineStr"/>
    </row>
    <row r="186">
      <c r="A186" s="13" t="inlineStr">
        <is>
          <t>Pembatalan &amp; Kedaluwarsa</t>
        </is>
      </c>
      <c r="B186" s="14" t="inlineStr">
        <is>
          <t>TC-CN-02</t>
        </is>
      </c>
      <c r="C186" s="15" t="inlineStr">
        <is>
          <t>P1</t>
        </is>
      </c>
      <c r="D186" s="13" t="inlineStr">
        <is>
          <t>Hal yang sama dari layar Riwayat</t>
        </is>
      </c>
      <c r="E186" s="13" t="inlineStr">
        <is>
          <t>Tombolnya ada dan bekerja sama persis</t>
        </is>
      </c>
      <c r="F186" s="13" t="inlineStr">
        <is>
          <t>F-CN-02</t>
        </is>
      </c>
      <c r="G186" s="13" t="inlineStr"/>
      <c r="H186" s="13" t="inlineStr"/>
      <c r="I186" s="13" t="inlineStr"/>
    </row>
    <row r="187">
      <c r="A187" s="16" t="inlineStr">
        <is>
          <t>Pembatalan &amp; Kedaluwarsa</t>
        </is>
      </c>
      <c r="B187" s="17" t="inlineStr">
        <is>
          <t>TC-CN-03</t>
        </is>
      </c>
      <c r="C187" s="18" t="inlineStr">
        <is>
          <t>P1</t>
        </is>
      </c>
      <c r="D187" s="16" t="inlineStr">
        <is>
          <t>Dapur menekan Mulai Masak → pelanggan mencoba membatalkan</t>
        </is>
      </c>
      <c r="E187" s="16" t="inlineStr">
        <is>
          <t>Ditolak; pesannya mengarahkan ke kasir</t>
        </is>
      </c>
      <c r="F187" s="16" t="inlineStr">
        <is>
          <t>F-CN-03</t>
        </is>
      </c>
      <c r="G187" s="16" t="inlineStr"/>
      <c r="H187" s="16" t="inlineStr"/>
      <c r="I187" s="16" t="inlineStr"/>
    </row>
    <row r="188">
      <c r="A188" s="13" t="inlineStr">
        <is>
          <t>Pembatalan &amp; Kedaluwarsa</t>
        </is>
      </c>
      <c r="B188" s="14" t="inlineStr">
        <is>
          <t>TC-CN-04</t>
        </is>
      </c>
      <c r="C188" s="15" t="inlineStr">
        <is>
          <t>P1</t>
        </is>
      </c>
      <c r="D188" s="13" t="inlineStr">
        <is>
          <t>Pesanan yang sudah dibayar</t>
        </is>
      </c>
      <c r="E188" s="13" t="inlineStr">
        <is>
          <t>Tombol batal tidak ada</t>
        </is>
      </c>
      <c r="F188" s="13" t="inlineStr">
        <is>
          <t>F-CN-01</t>
        </is>
      </c>
      <c r="G188" s="13" t="inlineStr"/>
      <c r="H188" s="13" t="inlineStr"/>
      <c r="I188" s="13" t="inlineStr"/>
    </row>
    <row r="189">
      <c r="A189" s="16" t="inlineStr">
        <is>
          <t>Pembatalan &amp; Kedaluwarsa</t>
        </is>
      </c>
      <c r="B189" s="17" t="inlineStr">
        <is>
          <t>TC-CN-05</t>
        </is>
      </c>
      <c r="C189" s="18" t="inlineStr">
        <is>
          <t>P1</t>
        </is>
      </c>
      <c r="D189" s="16" t="inlineStr">
        <is>
          <t>Coba batalkan pesanan orang lain (dari perangkat berbeda)</t>
        </is>
      </c>
      <c r="E189" s="16" t="inlineStr">
        <is>
          <t>Ditolak</t>
        </is>
      </c>
      <c r="F189" s="16" t="inlineStr">
        <is>
          <t>F-CN-04, TSD §5.2</t>
        </is>
      </c>
      <c r="G189" s="16" t="inlineStr"/>
      <c r="H189" s="16" t="inlineStr"/>
      <c r="I189" s="16" t="inlineStr"/>
    </row>
    <row r="190">
      <c r="A190" s="13" t="inlineStr">
        <is>
          <t>Pembatalan &amp; Kedaluwarsa</t>
        </is>
      </c>
      <c r="B190" s="14" t="inlineStr">
        <is>
          <t>TC-CN-06</t>
        </is>
      </c>
      <c r="C190" s="15" t="inlineStr">
        <is>
          <t>P1</t>
        </is>
      </c>
      <c r="D190" s="13" t="inlineStr">
        <is>
          <t>Pesanan tunai dibiarkan 31 menit</t>
        </is>
      </c>
      <c r="E190" s="13" t="inlineStr">
        <is>
          <t>Statusnya jadi Hangus sendiri</t>
        </is>
      </c>
      <c r="F190" s="13" t="inlineStr">
        <is>
          <t>F-CN-05</t>
        </is>
      </c>
      <c r="G190" s="13" t="inlineStr"/>
      <c r="H190" s="13" t="inlineStr"/>
      <c r="I190" s="13" t="inlineStr"/>
    </row>
    <row r="191">
      <c r="A191" s="16" t="inlineStr">
        <is>
          <t>Pembatalan &amp; Kedaluwarsa</t>
        </is>
      </c>
      <c r="B191" s="17" t="inlineStr">
        <is>
          <t>TC-CN-07</t>
        </is>
      </c>
      <c r="C191" s="18" t="inlineStr">
        <is>
          <t>P1</t>
        </is>
      </c>
      <c r="D191" s="16" t="inlineStr">
        <is>
          <t>Bandingkan tampilan pesanan Dibatalkan dan Hangus</t>
        </is>
      </c>
      <c r="E191" s="16" t="inlineStr">
        <is>
          <t>Dua label berbeda, tidak tertukar</t>
        </is>
      </c>
      <c r="F191" s="16" t="inlineStr">
        <is>
          <t>F-CN-06</t>
        </is>
      </c>
      <c r="G191" s="16" t="inlineStr"/>
      <c r="H191" s="16" t="inlineStr"/>
      <c r="I191" s="16" t="inlineStr"/>
    </row>
    <row r="192">
      <c r="A192" s="13" t="inlineStr">
        <is>
          <t>Pembatalan &amp; Kedaluwarsa</t>
        </is>
      </c>
      <c r="B192" s="14" t="inlineStr">
        <is>
          <t>TC-CN-08</t>
        </is>
      </c>
      <c r="C192" s="15" t="inlineStr">
        <is>
          <t>P1</t>
        </is>
      </c>
      <c r="D192" s="13" t="inlineStr">
        <is>
          <t>Buka Pesanan Masuk sesudah ada pesanan dibatalkan</t>
        </is>
      </c>
      <c r="E192" s="13" t="inlineStr">
        <is>
          <t>Tidak muncul, dan tidak berlabel "Menunggu Pembayaran"</t>
        </is>
      </c>
      <c r="F192" s="13" t="inlineStr">
        <is>
          <t>A-17</t>
        </is>
      </c>
      <c r="G192" s="13" t="inlineStr"/>
      <c r="H192" s="13" t="inlineStr"/>
      <c r="I192" s="13" t="inlineStr"/>
    </row>
    <row r="193">
      <c r="A193" s="16" t="inlineStr">
        <is>
          <t>Pembatalan &amp; Kedaluwarsa</t>
        </is>
      </c>
      <c r="B193" s="17" t="inlineStr">
        <is>
          <t>TC-CN-09</t>
        </is>
      </c>
      <c r="C193" s="18" t="inlineStr">
        <is>
          <t>P1</t>
        </is>
      </c>
      <c r="D193" s="16" t="inlineStr">
        <is>
          <t>Pesanan QRIS yang belum dibayar dibiarkan 31 menit</t>
        </is>
      </c>
      <c r="E193" s="16" t="inlineStr">
        <is>
          <t>Tidak ikut hangus — tenggangnya di sisi penyedia</t>
        </is>
      </c>
      <c r="F193" s="16" t="inlineStr">
        <is>
          <t>TSD §7.2</t>
        </is>
      </c>
      <c r="G193" s="16" t="inlineStr"/>
      <c r="H193" s="16" t="inlineStr"/>
      <c r="I193" s="16" t="inlineStr"/>
    </row>
    <row r="194">
      <c r="A194" s="13" t="inlineStr">
        <is>
          <t>Sesi Meja &amp; Identitas</t>
        </is>
      </c>
      <c r="B194" s="14" t="inlineStr">
        <is>
          <t>TC-SS-01</t>
        </is>
      </c>
      <c r="C194" s="19" t="inlineStr">
        <is>
          <t>P2</t>
        </is>
      </c>
      <c r="D194" s="13" t="inlineStr">
        <is>
          <t>Pindai QR meja</t>
        </is>
      </c>
      <c r="E194" s="13" t="inlineStr">
        <is>
          <t>Sesi terbuka: resto dan nomor meja terisi sendiri</t>
        </is>
      </c>
      <c r="F194" s="13" t="inlineStr">
        <is>
          <t>F-SS-01</t>
        </is>
      </c>
      <c r="G194" s="13" t="inlineStr"/>
      <c r="H194" s="13" t="inlineStr"/>
      <c r="I194" s="13" t="inlineStr"/>
    </row>
    <row r="195">
      <c r="A195" s="16" t="inlineStr">
        <is>
          <t>Sesi Meja &amp; Identitas</t>
        </is>
      </c>
      <c r="B195" s="17" t="inlineStr">
        <is>
          <t>TC-SS-02</t>
        </is>
      </c>
      <c r="C195" s="20" t="inlineStr">
        <is>
          <t>P2</t>
        </is>
      </c>
      <c r="D195" s="16" t="inlineStr">
        <is>
          <t>Pesan sebagai tamu, tutup aplikasi, buka lagi</t>
        </is>
      </c>
      <c r="E195" s="16" t="inlineStr">
        <is>
          <t>Riwayatnya masih ada</t>
        </is>
      </c>
      <c r="F195" s="16" t="inlineStr">
        <is>
          <t>F-SS-02</t>
        </is>
      </c>
      <c r="G195" s="16" t="inlineStr"/>
      <c r="H195" s="16" t="inlineStr"/>
      <c r="I195" s="16" t="inlineStr"/>
    </row>
    <row r="196">
      <c r="A196" s="13" t="inlineStr">
        <is>
          <t>Sesi Meja &amp; Identitas</t>
        </is>
      </c>
      <c r="B196" s="14" t="inlineStr">
        <is>
          <t>TC-SS-03</t>
        </is>
      </c>
      <c r="C196" s="15" t="inlineStr">
        <is>
          <t>P1</t>
        </is>
      </c>
      <c r="D196" s="13" t="inlineStr">
        <is>
          <t>Pesan sebagai tamu → login dengan email yang belum pernah dipakai</t>
        </is>
      </c>
      <c r="E196" s="13" t="inlineStr">
        <is>
          <t>Riwayat tamunya berpindah ke akun itu</t>
        </is>
      </c>
      <c r="F196" s="13" t="inlineStr">
        <is>
          <t>F-SS-03, F-CU-13</t>
        </is>
      </c>
      <c r="G196" s="13" t="inlineStr"/>
      <c r="H196" s="13" t="inlineStr"/>
      <c r="I196" s="13" t="inlineStr"/>
    </row>
    <row r="197">
      <c r="A197" s="16" t="inlineStr">
        <is>
          <t>Sesi Meja &amp; Identitas</t>
        </is>
      </c>
      <c r="B197" s="17" t="inlineStr">
        <is>
          <t>TC-SS-04</t>
        </is>
      </c>
      <c r="C197" s="18" t="inlineStr">
        <is>
          <t>P1</t>
        </is>
      </c>
      <c r="D197" s="16" t="inlineStr">
        <is>
          <t>Pesan sebagai tamu → login dengan email yang sudah punya riwayat</t>
        </is>
      </c>
      <c r="E197" s="16" t="inlineStr">
        <is>
          <t>Keduanya tetap terpisah; riwayat akun tidak tercampur</t>
        </is>
      </c>
      <c r="F197" s="16" t="inlineStr">
        <is>
          <t>F-SS-04, F-SS-05</t>
        </is>
      </c>
      <c r="G197" s="16" t="inlineStr"/>
      <c r="H197" s="16" t="inlineStr"/>
      <c r="I197" s="16" t="inlineStr"/>
    </row>
    <row r="198">
      <c r="A198" s="13" t="inlineStr">
        <is>
          <t>Sesi Meja &amp; Identitas</t>
        </is>
      </c>
      <c r="B198" s="14" t="inlineStr">
        <is>
          <t>TC-SS-05</t>
        </is>
      </c>
      <c r="C198" s="19" t="inlineStr">
        <is>
          <t>P2</t>
        </is>
      </c>
      <c r="D198" s="13" t="inlineStr">
        <is>
          <t>Kasus di atas → logout lagi</t>
        </is>
      </c>
      <c r="E198" s="13" t="inlineStr">
        <is>
          <t>Riwayat tamu masih ada di perangkat</t>
        </is>
      </c>
      <c r="F198" s="13" t="inlineStr">
        <is>
          <t>F-SS-05</t>
        </is>
      </c>
      <c r="G198" s="13" t="inlineStr"/>
      <c r="H198" s="13" t="inlineStr"/>
      <c r="I198" s="13" t="inlineStr"/>
    </row>
    <row r="199">
      <c r="A199" s="16" t="inlineStr">
        <is>
          <t>Sesi Meja &amp; Identitas</t>
        </is>
      </c>
      <c r="B199" s="17" t="inlineStr">
        <is>
          <t>TC-SS-06</t>
        </is>
      </c>
      <c r="C199" s="20" t="inlineStr">
        <is>
          <t>P2</t>
        </is>
      </c>
      <c r="D199" s="16" t="inlineStr">
        <is>
          <t>Selesaikan seluruh pesanan dalam sesi, tunggu 6 menit</t>
        </is>
      </c>
      <c r="E199" s="16" t="inlineStr">
        <is>
          <t>Sesinya tertutup sendiri</t>
        </is>
      </c>
      <c r="F199" s="16" t="inlineStr">
        <is>
          <t>F-SS-06</t>
        </is>
      </c>
      <c r="G199" s="16" t="inlineStr"/>
      <c r="H199" s="16" t="inlineStr"/>
      <c r="I199" s="16" t="inlineStr"/>
    </row>
    <row r="200">
      <c r="A200" s="13" t="inlineStr">
        <is>
          <t>Sesi Meja &amp; Identitas</t>
        </is>
      </c>
      <c r="B200" s="14" t="inlineStr">
        <is>
          <t>TC-SS-07</t>
        </is>
      </c>
      <c r="C200" s="19" t="inlineStr">
        <is>
          <t>P2</t>
        </is>
      </c>
      <c r="D200" s="13" t="inlineStr">
        <is>
          <t>Sisakan satu pesanan belum selesai, tunggu 10 menit</t>
        </is>
      </c>
      <c r="E200" s="13" t="inlineStr">
        <is>
          <t>Sesinya tetap terbuka</t>
        </is>
      </c>
      <c r="F200" s="13" t="inlineStr">
        <is>
          <t>F-SS-07</t>
        </is>
      </c>
      <c r="G200" s="13" t="inlineStr"/>
      <c r="H200" s="13" t="inlineStr"/>
      <c r="I200" s="13" t="inlineStr"/>
    </row>
    <row r="201">
      <c r="A201" s="16" t="inlineStr">
        <is>
          <t>Tampilan</t>
        </is>
      </c>
      <c r="B201" s="17" t="inlineStr">
        <is>
          <t>TC-TM-01</t>
        </is>
      </c>
      <c r="C201" s="22" t="inlineStr">
        <is>
          <t>P3</t>
        </is>
      </c>
      <c r="D201" s="16" t="inlineStr">
        <is>
          <t>Ganti tema dari halaman awal, sebelum masuk</t>
        </is>
      </c>
      <c r="E201" s="16" t="inlineStr">
        <is>
          <t>Berlaku seketika</t>
        </is>
      </c>
      <c r="F201" s="16" t="inlineStr">
        <is>
          <t>F-TM-01, F-TM-02</t>
        </is>
      </c>
      <c r="G201" s="16" t="inlineStr"/>
      <c r="H201" s="16" t="inlineStr"/>
      <c r="I201" s="16" t="inlineStr"/>
    </row>
    <row r="202">
      <c r="A202" s="13" t="inlineStr">
        <is>
          <t>Tampilan</t>
        </is>
      </c>
      <c r="B202" s="14" t="inlineStr">
        <is>
          <t>TC-TM-02</t>
        </is>
      </c>
      <c r="C202" s="21" t="inlineStr">
        <is>
          <t>P3</t>
        </is>
      </c>
      <c r="D202" s="13" t="inlineStr">
        <is>
          <t>Ganti tema dari tiap peran: Kasir, Chef, Admin, Finance, Owner, Pelanggan</t>
        </is>
      </c>
      <c r="E202" s="13" t="inlineStr">
        <is>
          <t>Tersedia dan bekerja di semuanya</t>
        </is>
      </c>
      <c r="F202" s="13" t="inlineStr">
        <is>
          <t>F-TM-02</t>
        </is>
      </c>
      <c r="G202" s="13" t="inlineStr"/>
      <c r="H202" s="13" t="inlineStr"/>
      <c r="I202" s="13" t="inlineStr"/>
    </row>
    <row r="203">
      <c r="A203" s="16" t="inlineStr">
        <is>
          <t>Tampilan</t>
        </is>
      </c>
      <c r="B203" s="17" t="inlineStr">
        <is>
          <t>TC-TM-03</t>
        </is>
      </c>
      <c r="C203" s="22" t="inlineStr">
        <is>
          <t>P3</t>
        </is>
      </c>
      <c r="D203" s="16" t="inlineStr">
        <is>
          <t>Pilih Ikuti HP, ubah tema sistem Android</t>
        </is>
      </c>
      <c r="E203" s="16" t="inlineStr">
        <is>
          <t>Aplikasi mengikuti tanpa dibuka ulang</t>
        </is>
      </c>
      <c r="F203" s="16" t="inlineStr">
        <is>
          <t>F-TM-01</t>
        </is>
      </c>
      <c r="G203" s="16" t="inlineStr"/>
      <c r="H203" s="16" t="inlineStr"/>
      <c r="I203" s="16" t="inlineStr"/>
    </row>
    <row r="204">
      <c r="A204" s="13" t="inlineStr">
        <is>
          <t>Tampilan</t>
        </is>
      </c>
      <c r="B204" s="14" t="inlineStr">
        <is>
          <t>TC-TM-04</t>
        </is>
      </c>
      <c r="C204" s="21" t="inlineStr">
        <is>
          <t>P3</t>
        </is>
      </c>
      <c r="D204" s="13" t="inlineStr">
        <is>
          <t>Pilih Gelap, tutup aplikasi, buka lagi</t>
        </is>
      </c>
      <c r="E204" s="13" t="inlineStr">
        <is>
          <t>Tetap gelap</t>
        </is>
      </c>
      <c r="F204" s="13" t="inlineStr">
        <is>
          <t>F-TM-03</t>
        </is>
      </c>
      <c r="G204" s="13" t="inlineStr"/>
      <c r="H204" s="13" t="inlineStr"/>
      <c r="I204" s="13" t="inlineStr"/>
    </row>
    <row r="205">
      <c r="A205" s="16" t="inlineStr">
        <is>
          <t>Tampilan</t>
        </is>
      </c>
      <c r="B205" s="17" t="inlineStr">
        <is>
          <t>TC-TM-05</t>
        </is>
      </c>
      <c r="C205" s="20" t="inlineStr">
        <is>
          <t>P2</t>
        </is>
      </c>
      <c r="D205" s="16" t="inlineStr">
        <is>
          <t>Telusuri seluruh layar dalam mode gelap</t>
        </is>
      </c>
      <c r="E205" s="16" t="inlineStr">
        <is>
          <t>Tidak ada tulisan yang hilang di latarnya; kartu selalu lebih terang daripada latar</t>
        </is>
      </c>
      <c r="F205" s="16" t="inlineStr">
        <is>
          <t>A-18</t>
        </is>
      </c>
      <c r="G205" s="16" t="inlineStr"/>
      <c r="H205" s="16" t="inlineStr"/>
      <c r="I205" s="16" t="inlineStr"/>
    </row>
    <row r="206">
      <c r="A206" s="13" t="inlineStr">
        <is>
          <t>Tampilan</t>
        </is>
      </c>
      <c r="B206" s="14" t="inlineStr">
        <is>
          <t>TC-TM-06</t>
        </is>
      </c>
      <c r="C206" s="19" t="inlineStr">
        <is>
          <t>P2</t>
        </is>
      </c>
      <c r="D206" s="13" t="inlineStr">
        <is>
          <t>Hal yang sama dalam mode terang</t>
        </is>
      </c>
      <c r="E206" s="13" t="inlineStr">
        <is>
          <t>Sama</t>
        </is>
      </c>
      <c r="F206" s="13" t="inlineStr">
        <is>
          <t>A-18</t>
        </is>
      </c>
      <c r="G206" s="13" t="inlineStr"/>
      <c r="H206" s="13" t="inlineStr"/>
      <c r="I206" s="13" t="inlineStr"/>
    </row>
    <row r="207">
      <c r="A207" s="16" t="inlineStr">
        <is>
          <t>Tampilan</t>
        </is>
      </c>
      <c r="B207" s="17" t="inlineStr">
        <is>
          <t>TC-TM-07</t>
        </is>
      </c>
      <c r="C207" s="22" t="inlineStr">
        <is>
          <t>P3</t>
        </is>
      </c>
      <c r="D207" s="16" t="inlineStr">
        <is>
          <t>Perkecil lebar layar / perangkat sempit</t>
        </is>
      </c>
      <c r="E207" s="16" t="inlineStr">
        <is>
          <t>Pilihan tema menyusut jadi ikon saja</t>
        </is>
      </c>
      <c r="F207" s="16" t="inlineStr">
        <is>
          <t>F-TM-04</t>
        </is>
      </c>
      <c r="G207" s="16" t="inlineStr"/>
      <c r="H207" s="16" t="inlineStr"/>
      <c r="I207" s="16" t="inlineStr"/>
    </row>
    <row r="208">
      <c r="A208" s="13" t="inlineStr">
        <is>
          <t>Tampilan</t>
        </is>
      </c>
      <c r="B208" s="14" t="inlineStr">
        <is>
          <t>TC-TM-08</t>
        </is>
      </c>
      <c r="C208" s="21" t="inlineStr">
        <is>
          <t>P3</t>
        </is>
      </c>
      <c r="D208" s="13" t="inlineStr">
        <is>
          <t>Buka daftar panjang mana pun sampai ujung bawah</t>
        </is>
      </c>
      <c r="E208" s="13" t="inlineStr">
        <is>
          <t>Tombol aksi tidak menutupi baris terakhir</t>
        </is>
      </c>
      <c r="F208" s="13" t="inlineStr">
        <is>
          <t>A-11</t>
        </is>
      </c>
      <c r="G208" s="13" t="inlineStr"/>
      <c r="H208" s="13" t="inlineStr"/>
      <c r="I208" s="13" t="inlineStr"/>
    </row>
    <row r="209">
      <c r="A209" s="16" t="inlineStr">
        <is>
          <t>Tampilan</t>
        </is>
      </c>
      <c r="B209" s="17" t="inlineStr">
        <is>
          <t>TC-TM-09</t>
        </is>
      </c>
      <c r="C209" s="20" t="inlineStr">
        <is>
          <t>P2</t>
        </is>
      </c>
      <c r="D209" s="16" t="inlineStr">
        <is>
          <t>Buka menu utama Kasir, Admin, Finance, Super Admin, Owner</t>
        </is>
      </c>
      <c r="E209" s="16" t="inlineStr">
        <is>
          <t>Halaman awal berisi kartu kelompok, bukan belasan menu</t>
        </is>
      </c>
      <c r="F209" s="16" t="inlineStr">
        <is>
          <t>F-TM-05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TC-TM-10</t>
        </is>
      </c>
      <c r="C210" s="15" t="inlineStr">
        <is>
          <t>P1</t>
        </is>
      </c>
      <c r="D210" s="13" t="inlineStr">
        <is>
          <t>Buka tiap kelompok, hitung seluruh menunya</t>
        </is>
      </c>
      <c r="E210" s="13" t="inlineStr">
        <is>
          <t>Tidak ada satu pun menu yang hilang</t>
        </is>
      </c>
      <c r="F210" s="13" t="inlineStr">
        <is>
          <t>F-TM-05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TC-TM-11</t>
        </is>
      </c>
      <c r="C211" s="20" t="inlineStr">
        <is>
          <t>P2</t>
        </is>
      </c>
      <c r="D211" s="16" t="inlineStr">
        <is>
          <t>Baca kartu kelompok tanpa membukanya</t>
        </is>
      </c>
      <c r="E211" s="16" t="inlineStr">
        <is>
          <t>Isinya tersebut di keterangannya</t>
        </is>
      </c>
      <c r="F211" s="16" t="inlineStr">
        <is>
          <t>F-TM-06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TC-TM-12</t>
        </is>
      </c>
      <c r="C212" s="15" t="inlineStr">
        <is>
          <t>P1</t>
        </is>
      </c>
      <c r="D212" s="13" t="inlineStr">
        <is>
          <t>Periksa Kotak Masuk, Pengaturan, dan Keluar</t>
        </is>
      </c>
      <c r="E212" s="13" t="inlineStr">
        <is>
          <t>Ketiganya di halaman awal, tidak di dalam kelompok</t>
        </is>
      </c>
      <c r="F212" s="13" t="inlineStr">
        <is>
          <t>F-TM-07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TC-TM-13</t>
        </is>
      </c>
      <c r="C213" s="18" t="inlineStr">
        <is>
          <t>P1</t>
        </is>
      </c>
      <c r="D213" s="16" t="inlineStr">
        <is>
          <t>Ajukan top up petty cash, buka halaman awal peran mana pun</t>
        </is>
      </c>
      <c r="E213" s="16" t="inlineStr">
        <is>
          <t>Kartu Keuangan membawa penanda merah tanpa perlu dibuka</t>
        </is>
      </c>
      <c r="F213" s="16" t="inlineStr">
        <is>
          <t>F-TM-08, A-07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TC-TM-14</t>
        </is>
      </c>
      <c r="C214" s="15" t="inlineStr">
        <is>
          <t>P1</t>
        </is>
      </c>
      <c r="D214" s="13" t="inlineStr">
        <is>
          <t>Pesanan tunai pelanggan masuk antrean</t>
        </is>
      </c>
      <c r="E214" s="13" t="inlineStr">
        <is>
          <t>Kartu Penjualan membawa penandanya</t>
        </is>
      </c>
      <c r="F214" s="13" t="inlineStr">
        <is>
          <t>F-TM-08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TC-TM-15</t>
        </is>
      </c>
      <c r="C215" s="20" t="inlineStr">
        <is>
          <t>P2</t>
        </is>
      </c>
      <c r="D215" s="16" t="inlineStr">
        <is>
          <t>Setujui seluruh pengajuan, buka lagi halaman awal</t>
        </is>
      </c>
      <c r="E215" s="16" t="inlineStr">
        <is>
          <t>Penanda di kartu kelompok hilang</t>
        </is>
      </c>
      <c r="F215" s="16" t="inlineStr">
        <is>
          <t>F-TM-08</t>
        </is>
      </c>
      <c r="G215" s="16" t="inlineStr"/>
      <c r="H215" s="16" t="inlineStr"/>
      <c r="I215" s="16" t="inlineStr"/>
    </row>
    <row r="216">
      <c r="A216" s="13" t="inlineStr">
        <is>
          <t>Super Admin</t>
        </is>
      </c>
      <c r="B216" s="14" t="inlineStr">
        <is>
          <t>TC-SA-01</t>
        </is>
      </c>
      <c r="C216" s="19" t="inlineStr">
        <is>
          <t>P2</t>
        </is>
      </c>
      <c r="D216" s="13" t="inlineStr">
        <is>
          <t>Buka List Resto</t>
        </is>
      </c>
      <c r="E216" s="13" t="inlineStr">
        <is>
          <t>Seluruh resto terdaftar tampil</t>
        </is>
      </c>
      <c r="F216" s="13" t="inlineStr">
        <is>
          <t>F-SA-01</t>
        </is>
      </c>
      <c r="G216" s="13" t="inlineStr"/>
      <c r="H216" s="13" t="inlineStr"/>
      <c r="I216" s="13" t="inlineStr"/>
    </row>
    <row r="217">
      <c r="A217" s="16" t="inlineStr">
        <is>
          <t>Super Admin</t>
        </is>
      </c>
      <c r="B217" s="17" t="inlineStr">
        <is>
          <t>TC-SA-02</t>
        </is>
      </c>
      <c r="C217" s="20" t="inlineStr">
        <is>
          <t>P2</t>
        </is>
      </c>
      <c r="D217" s="16" t="inlineStr">
        <is>
          <t>Kelola karyawan lintas resto, ubah perannya</t>
        </is>
      </c>
      <c r="E217" s="16" t="inlineStr">
        <is>
          <t>Perubahan berlaku; karyawan itu melihat menu sesuai peran barunya</t>
        </is>
      </c>
      <c r="F217" s="16" t="inlineStr">
        <is>
          <t>F-SA-02</t>
        </is>
      </c>
      <c r="G217" s="16" t="inlineStr"/>
      <c r="H217" s="16" t="inlineStr"/>
      <c r="I217" s="16" t="inlineStr"/>
    </row>
    <row r="218">
      <c r="A218" s="13" t="inlineStr">
        <is>
          <t>Super Admin</t>
        </is>
      </c>
      <c r="B218" s="14" t="inlineStr">
        <is>
          <t>TC-SA-03</t>
        </is>
      </c>
      <c r="C218" s="15" t="inlineStr">
        <is>
          <t>P1</t>
        </is>
      </c>
      <c r="D218" s="13" t="inlineStr">
        <is>
          <t>Kirim pengumuman versi aplikasi</t>
        </is>
      </c>
      <c r="E218" s="13" t="inlineStr">
        <is>
          <t>Sampai ke seluruh pengguna, di semua resto</t>
        </is>
      </c>
      <c r="F218" s="13" t="inlineStr">
        <is>
          <t>F-SA-03, F-IN-07</t>
        </is>
      </c>
      <c r="G218" s="13" t="inlineStr"/>
      <c r="H218" s="13" t="inlineStr"/>
      <c r="I218" s="13" t="inlineStr"/>
    </row>
    <row r="219">
      <c r="A219" s="16" t="inlineStr">
        <is>
          <t>Super Admin</t>
        </is>
      </c>
      <c r="B219" s="17" t="inlineStr">
        <is>
          <t>TC-SA-04</t>
        </is>
      </c>
      <c r="C219" s="18" t="inlineStr">
        <is>
          <t>P1</t>
        </is>
      </c>
      <c r="D219" s="16" t="inlineStr">
        <is>
          <t>Buka layar Kirim Pengumuman sebagai Admin resto</t>
        </is>
      </c>
      <c r="E219" s="16" t="inlineStr">
        <is>
          <t>Pilihan kategori Update Aplikasi tidak tersedia</t>
        </is>
      </c>
      <c r="F219" s="16" t="inlineStr">
        <is>
          <t>F-SA-03, F-IN-08</t>
        </is>
      </c>
      <c r="G219" s="16" t="inlineStr"/>
      <c r="H219" s="16" t="inlineStr"/>
      <c r="I219" s="16" t="inlineStr"/>
    </row>
    <row r="220">
      <c r="A220" s="13" t="inlineStr">
        <is>
          <t>Super Admin</t>
        </is>
      </c>
      <c r="B220" s="14" t="inlineStr">
        <is>
          <t>TC-SA-05</t>
        </is>
      </c>
      <c r="C220" s="19" t="inlineStr">
        <is>
          <t>P2</t>
        </is>
      </c>
      <c r="D220" s="13" t="inlineStr">
        <is>
          <t>Kirim pengumuman umum ke seluruh resto</t>
        </is>
      </c>
      <c r="E220" s="13" t="inlineStr">
        <is>
          <t>Muncul di kotak masuk semua resto</t>
        </is>
      </c>
      <c r="F220" s="13" t="inlineStr">
        <is>
          <t>F-SA-04</t>
        </is>
      </c>
      <c r="G220" s="13" t="inlineStr"/>
      <c r="H220" s="13" t="inlineStr"/>
      <c r="I220" s="13" t="inlineStr"/>
    </row>
    <row r="221">
      <c r="A221" s="16" t="inlineStr">
        <is>
          <t>Super Admin</t>
        </is>
      </c>
      <c r="B221" s="17" t="inlineStr">
        <is>
          <t>TC-SA-06</t>
        </is>
      </c>
      <c r="C221" s="20" t="inlineStr">
        <is>
          <t>P2</t>
        </is>
      </c>
      <c r="D221" s="16" t="inlineStr">
        <is>
          <t>Telusuri menu Super Admin</t>
        </is>
      </c>
      <c r="E221" s="16" t="inlineStr">
        <is>
          <t>Tidak ada layar kasir, dapur, maupun keuangan resto</t>
        </is>
      </c>
      <c r="F221" s="16" t="inlineStr">
        <is>
          <t>F-SA-06</t>
        </is>
      </c>
      <c r="G221" s="16" t="inlineStr"/>
      <c r="H221" s="16" t="inlineStr"/>
      <c r="I221" s="16" t="inlineStr"/>
    </row>
    <row r="222">
      <c r="A222" s="13" t="inlineStr">
        <is>
          <t>Super Admin</t>
        </is>
      </c>
      <c r="B222" s="14" t="inlineStr">
        <is>
          <t>TC-SA-07</t>
        </is>
      </c>
      <c r="C222" s="15" t="inlineStr">
        <is>
          <t>P1</t>
        </is>
      </c>
      <c r="D222" s="13" t="inlineStr">
        <is>
          <t>List Resto → hapus sebuah resto</t>
        </is>
      </c>
      <c r="E222" s="13" t="inlineStr">
        <is>
          <t>Hilang dari daftar; datanya tidak dibuang</t>
        </is>
      </c>
      <c r="F222" s="13" t="inlineStr">
        <is>
          <t>F-SA-07</t>
        </is>
      </c>
      <c r="G222" s="13" t="inlineStr"/>
      <c r="H222" s="13" t="inlineStr"/>
      <c r="I222" s="13" t="inlineStr"/>
    </row>
    <row r="223">
      <c r="A223" s="16" t="inlineStr">
        <is>
          <t>Super Admin</t>
        </is>
      </c>
      <c r="B223" s="17" t="inlineStr">
        <is>
          <t>TC-SA-08</t>
        </is>
      </c>
      <c r="C223" s="18" t="inlineStr">
        <is>
          <t>P1</t>
        </is>
      </c>
      <c r="D223" s="16" t="inlineStr">
        <is>
          <t>Buka Pilih Resto sebagai pelanggan</t>
        </is>
      </c>
      <c r="E223" s="16" t="inlineStr">
        <is>
          <t>Resto terhapus tidak muncul</t>
        </is>
      </c>
      <c r="F223" s="16" t="inlineStr">
        <is>
          <t>F-SA-10</t>
        </is>
      </c>
      <c r="G223" s="16" t="inlineStr"/>
      <c r="H223" s="16" t="inlineStr"/>
      <c r="I223" s="16" t="inlineStr"/>
    </row>
    <row r="224">
      <c r="A224" s="13" t="inlineStr">
        <is>
          <t>Super Admin</t>
        </is>
      </c>
      <c r="B224" s="14" t="inlineStr">
        <is>
          <t>TC-SA-09</t>
        </is>
      </c>
      <c r="C224" s="15" t="inlineStr">
        <is>
          <t>P1</t>
        </is>
      </c>
      <c r="D224" s="13" t="inlineStr">
        <is>
          <t>Pindai QR meja resto yang sudah dihapus, coba pesan</t>
        </is>
      </c>
      <c r="E224" s="13" t="inlineStr">
        <is>
          <t>Ditolak database, bukan hanya disembunyikan layarnya</t>
        </is>
      </c>
      <c r="F224" s="13" t="inlineStr">
        <is>
          <t>F-SA-10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TC-SA-10</t>
        </is>
      </c>
      <c r="C225" s="18" t="inlineStr">
        <is>
          <t>P1</t>
        </is>
      </c>
      <c r="D225" s="16" t="inlineStr">
        <is>
          <t>Coba ubah harga produk resto terhapus</t>
        </is>
      </c>
      <c r="E225" s="16" t="inlineStr">
        <is>
          <t>Ditolak</t>
        </is>
      </c>
      <c r="F225" s="16" t="inlineStr">
        <is>
          <t>F-SA-10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TC-SA-11</t>
        </is>
      </c>
      <c r="C226" s="15" t="inlineStr">
        <is>
          <t>P1</t>
        </is>
      </c>
      <c r="D226" s="13" t="inlineStr">
        <is>
          <t>Terbitkan tagihan setelah resto dihapus</t>
        </is>
      </c>
      <c r="E226" s="13" t="inlineStr">
        <is>
          <t>Tidak ada tagihan baru untuk resto itu</t>
        </is>
      </c>
      <c r="F226" s="13" t="inlineStr">
        <is>
          <t>F-SA-11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TC-SA-12</t>
        </is>
      </c>
      <c r="C227" s="18" t="inlineStr">
        <is>
          <t>P1</t>
        </is>
      </c>
      <c r="D227" s="16" t="inlineStr">
        <is>
          <t>Periksa tagihan lama resto terhapus</t>
        </is>
      </c>
      <c r="E227" s="16" t="inlineStr">
        <is>
          <t>Masih ada dan bisa ditelusuri</t>
        </is>
      </c>
      <c r="F227" s="16" t="inlineStr">
        <is>
          <t>F-SA-11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TC-SA-13</t>
        </is>
      </c>
      <c r="C228" s="19" t="inlineStr">
        <is>
          <t>P2</t>
        </is>
      </c>
      <c r="D228" s="13" t="inlineStr">
        <is>
          <t>Nyalakan saklar Tampilkan yang dihapus</t>
        </is>
      </c>
      <c r="E228" s="13" t="inlineStr">
        <is>
          <t>Resto terhapus muncul, hanya dengan tombol Kembalikan</t>
        </is>
      </c>
      <c r="F228" s="13" t="inlineStr">
        <is>
          <t>F-SA-09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TC-SA-14</t>
        </is>
      </c>
      <c r="C229" s="18" t="inlineStr">
        <is>
          <t>P1</t>
        </is>
      </c>
      <c r="D229" s="16" t="inlineStr">
        <is>
          <t>Ketuk Kembalikan</t>
        </is>
      </c>
      <c r="E229" s="16" t="inlineStr">
        <is>
          <t>Kembali ke daftar, tapi belum aktif — harus dinyalakan sendiri</t>
        </is>
      </c>
      <c r="F229" s="16" t="inlineStr">
        <is>
          <t>F-SA-08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TC-SA-15</t>
        </is>
      </c>
      <c r="C230" s="15" t="inlineStr">
        <is>
          <t>P1</t>
        </is>
      </c>
      <c r="D230" s="13" t="inlineStr">
        <is>
          <t>Coba hapus penyewa platform (KaataGo)</t>
        </is>
      </c>
      <c r="E230" s="13" t="inlineStr">
        <is>
          <t>Ditolak</t>
        </is>
      </c>
      <c r="F230" s="13" t="inlineStr">
        <is>
          <t>TSD §7.4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TC-SA-16</t>
        </is>
      </c>
      <c r="C231" s="18" t="inlineStr">
        <is>
          <t>P1</t>
        </is>
      </c>
      <c r="D231" s="16" t="inlineStr">
        <is>
          <t>Coba set_resto_deleted sebagai Owner resto</t>
        </is>
      </c>
      <c r="E231" s="16" t="inlineStr">
        <is>
          <t>Ditolak — hanya Super Admin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TC-SA-17</t>
        </is>
      </c>
      <c r="C232" s="19" t="inlineStr">
        <is>
          <t>P2</t>
        </is>
      </c>
      <c r="D232" s="13" t="inlineStr">
        <is>
          <t>Periksa baris resto terhapus di database</t>
        </is>
      </c>
      <c r="E232" s="13" t="inlineStr">
        <is>
          <t>deleted_by dan deleted_at terisi</t>
        </is>
      </c>
      <c r="F232" s="13" t="inlineStr">
        <is>
          <t>F-SA-12</t>
        </is>
      </c>
      <c r="G232" s="13" t="inlineStr"/>
      <c r="H232" s="13" t="inlineStr"/>
      <c r="I232" s="13" t="inlineStr"/>
    </row>
    <row r="233">
      <c r="A233" s="16" t="inlineStr">
        <is>
          <t>Pembaruan Aplikasi</t>
        </is>
      </c>
      <c r="B233" s="17" t="inlineStr">
        <is>
          <t>TC-UP-01</t>
        </is>
      </c>
      <c r="C233" s="20" t="inlineStr">
        <is>
          <t>P2</t>
        </is>
      </c>
      <c r="D233" s="16" t="inlineStr">
        <is>
          <t>Buka pengumuman versi → Unduh Versi Terbaru</t>
        </is>
      </c>
      <c r="E233" s="16" t="inlineStr">
        <is>
          <t>Unduhan mulai di dalam aplikasi, tidak membuka peramban</t>
        </is>
      </c>
      <c r="F233" s="16" t="inlineStr">
        <is>
          <t>F-UP-01, F-UP-02</t>
        </is>
      </c>
      <c r="G233" s="16" t="inlineStr"/>
      <c r="H233" s="16" t="inlineStr"/>
      <c r="I233" s="16" t="inlineStr"/>
    </row>
    <row r="234">
      <c r="A234" s="13" t="inlineStr">
        <is>
          <t>Pembaruan Aplikasi</t>
        </is>
      </c>
      <c r="B234" s="14" t="inlineStr">
        <is>
          <t>TC-UP-02</t>
        </is>
      </c>
      <c r="C234" s="19" t="inlineStr">
        <is>
          <t>P2</t>
        </is>
      </c>
      <c r="D234" s="13" t="inlineStr">
        <is>
          <t>Perhatikan bar notifikasi HP</t>
        </is>
      </c>
      <c r="E234" s="13" t="inlineStr">
        <is>
          <t>Kemajuannya tampil berikut persennya</t>
        </is>
      </c>
      <c r="F234" s="13" t="inlineStr">
        <is>
          <t>F-UP-03</t>
        </is>
      </c>
      <c r="G234" s="13" t="inlineStr"/>
      <c r="H234" s="13" t="inlineStr"/>
      <c r="I234" s="13" t="inlineStr"/>
    </row>
    <row r="235">
      <c r="A235" s="16" t="inlineStr">
        <is>
          <t>Pembaruan Aplikasi</t>
        </is>
      </c>
      <c r="B235" s="17" t="inlineStr">
        <is>
          <t>TC-UP-03</t>
        </is>
      </c>
      <c r="C235" s="20" t="inlineStr">
        <is>
          <t>P2</t>
        </is>
      </c>
      <c r="D235" s="16" t="inlineStr">
        <is>
          <t>Kunci HP saat unduhan berjalan, tunggu, buka lagi</t>
        </is>
      </c>
      <c r="E235" s="16" t="inlineStr">
        <is>
          <t>Unduhannya lanjut, tidak mengulang dari nol</t>
        </is>
      </c>
      <c r="F235" s="16" t="inlineStr">
        <is>
          <t>F-UP-04</t>
        </is>
      </c>
      <c r="G235" s="16" t="inlineStr"/>
      <c r="H235" s="16" t="inlineStr"/>
      <c r="I235" s="16" t="inlineStr"/>
    </row>
    <row r="236">
      <c r="A236" s="13" t="inlineStr">
        <is>
          <t>Pembaruan Aplikasi</t>
        </is>
      </c>
      <c r="B236" s="14" t="inlineStr">
        <is>
          <t>TC-UP-04</t>
        </is>
      </c>
      <c r="C236" s="19" t="inlineStr">
        <is>
          <t>P2</t>
        </is>
      </c>
      <c r="D236" s="13" t="inlineStr">
        <is>
          <t>Tekan tombol unduh lagi saat unduhan berjalan</t>
        </is>
      </c>
      <c r="E236" s="13" t="inlineStr">
        <is>
          <t>Muncul pilihan Batalkan atau Lanjutkan</t>
        </is>
      </c>
      <c r="F236" s="13" t="inlineStr">
        <is>
          <t>F-UP-05, F-IN-18</t>
        </is>
      </c>
      <c r="G236" s="13" t="inlineStr"/>
      <c r="H236" s="13" t="inlineStr"/>
      <c r="I236" s="13" t="inlineStr"/>
    </row>
    <row r="237">
      <c r="A237" s="16" t="inlineStr">
        <is>
          <t>Pembaruan Aplikasi</t>
        </is>
      </c>
      <c r="B237" s="17" t="inlineStr">
        <is>
          <t>TC-UP-05</t>
        </is>
      </c>
      <c r="C237" s="20" t="inlineStr">
        <is>
          <t>P2</t>
        </is>
      </c>
      <c r="D237" s="16" t="inlineStr">
        <is>
          <t>Pilih Batalkan</t>
        </is>
      </c>
      <c r="E237" s="16" t="inlineStr">
        <is>
          <t>Unduhan berhenti; tidak ditampilkan sebagai galat</t>
        </is>
      </c>
      <c r="F237" s="16" t="inlineStr">
        <is>
          <t>F-IN-19</t>
        </is>
      </c>
      <c r="G237" s="16" t="inlineStr"/>
      <c r="H237" s="16" t="inlineStr"/>
      <c r="I237" s="16" t="inlineStr"/>
    </row>
    <row r="238">
      <c r="A238" s="13" t="inlineStr">
        <is>
          <t>Pembaruan Aplikasi</t>
        </is>
      </c>
      <c r="B238" s="14" t="inlineStr">
        <is>
          <t>TC-UP-06</t>
        </is>
      </c>
      <c r="C238" s="19" t="inlineStr">
        <is>
          <t>P2</t>
        </is>
      </c>
      <c r="D238" s="13" t="inlineStr">
        <is>
          <t>Biarkan unduhan selesai</t>
        </is>
      </c>
      <c r="E238" s="13" t="inlineStr">
        <is>
          <t>Notifikasi "ketuk untuk memasang"; pemasang Android terbuka</t>
        </is>
      </c>
      <c r="F238" s="13" t="inlineStr">
        <is>
          <t>F-UP-06, F-IN-17</t>
        </is>
      </c>
      <c r="G238" s="13" t="inlineStr"/>
      <c r="H238" s="13" t="inlineStr"/>
      <c r="I238" s="13" t="inlineStr"/>
    </row>
    <row r="239">
      <c r="A239" s="16" t="inlineStr">
        <is>
          <t>Pembaruan Aplikasi</t>
        </is>
      </c>
      <c r="B239" s="17" t="inlineStr">
        <is>
          <t>TC-UP-07</t>
        </is>
      </c>
      <c r="C239" s="20" t="inlineStr">
        <is>
          <t>P2</t>
        </is>
      </c>
      <c r="D239" s="16" t="inlineStr">
        <is>
          <t>Matikan data seluler di tengah unduhan</t>
        </is>
      </c>
      <c r="E239" s="16" t="inlineStr">
        <is>
          <t>Pesannya menyebut masalah koneksi, satu kalimat, tanpa isi galat mentah</t>
        </is>
      </c>
      <c r="F239" s="16" t="inlineStr">
        <is>
          <t>F-UP-07, F-IN-19</t>
        </is>
      </c>
      <c r="G239" s="16" t="inlineStr"/>
      <c r="H239" s="16" t="inlineStr"/>
      <c r="I239" s="16" t="inlineStr"/>
    </row>
    <row r="240">
      <c r="A240" s="13" t="inlineStr">
        <is>
          <t>Pembaruan Aplikasi</t>
        </is>
      </c>
      <c r="B240" s="14" t="inlineStr">
        <is>
          <t>TC-UP-08</t>
        </is>
      </c>
      <c r="C240" s="21" t="inlineStr">
        <is>
          <t>P3</t>
        </is>
      </c>
      <c r="D240" s="13" t="inlineStr">
        <is>
          <t>Penuhi penyimpanan HP, lalu unduh</t>
        </is>
      </c>
      <c r="E240" s="13" t="inlineStr">
        <is>
          <t>Pesannya menyebut penyimpanan penuh — dibedakan dari masalah koneksi</t>
        </is>
      </c>
      <c r="F240" s="13" t="inlineStr">
        <is>
          <t>F-UP-07</t>
        </is>
      </c>
      <c r="G240" s="13" t="inlineStr"/>
      <c r="H240" s="13" t="inlineStr"/>
      <c r="I240" s="13" t="inlineStr"/>
    </row>
    <row r="241">
      <c r="A241" s="16" t="inlineStr">
        <is>
          <t>Pembaruan Aplikasi</t>
        </is>
      </c>
      <c r="B241" s="17" t="inlineStr">
        <is>
          <t>TC-UP-09</t>
        </is>
      </c>
      <c r="C241" s="22" t="inlineStr">
        <is>
          <t>P3</t>
        </is>
      </c>
      <c r="D241" s="16" t="inlineStr">
        <is>
          <t>Pakai jalur cadangan lewat peramban</t>
        </is>
      </c>
      <c r="E241" s="16" t="inlineStr">
        <is>
          <t>Berkasnya terunduh</t>
        </is>
      </c>
      <c r="F241" s="16" t="inlineStr">
        <is>
          <t>F-IN-06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TC-BL-01</t>
        </is>
      </c>
      <c r="C242" s="19" t="inlineStr">
        <is>
          <t>P2</t>
        </is>
      </c>
      <c r="D242" s="13" t="inlineStr">
        <is>
          <t>Super Admin → Billing Resto → atur harga dan tanggal untuk sebuah resto</t>
        </is>
      </c>
      <c r="E242" s="13" t="inlineStr">
        <is>
          <t>Tersimpan; kartu restonya menampilkan harga, tanggal, dan tenggangnya</t>
        </is>
      </c>
      <c r="F242" s="13" t="inlineStr">
        <is>
          <t>F-BL-01, F-BL-02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TC-BL-02</t>
        </is>
      </c>
      <c r="C243" s="20" t="inlineStr">
        <is>
          <t>P2</t>
        </is>
      </c>
      <c r="D243" s="16" t="inlineStr">
        <is>
          <t>Buat resto baru, buka Billing Resto</t>
        </is>
      </c>
      <c r="E243" s="16" t="inlineStr">
        <is>
          <t>Sudah punya barisnya sendiri, berstatus Gratis</t>
        </is>
      </c>
      <c r="F243" s="16" t="inlineStr">
        <is>
          <t>F-BL-06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TC-BL-03</t>
        </is>
      </c>
      <c r="C244" s="15" t="inlineStr">
        <is>
          <t>P1</t>
        </is>
      </c>
      <c r="D244" s="13" t="inlineStr">
        <is>
          <t>Setel harga Rp 0, lewatkan tanggal jatuh tempo jauh</t>
        </is>
      </c>
      <c r="E244" s="13" t="inlineStr">
        <is>
          <t>Tidak pernah terbit tagihan, tidak pernah terkunci</t>
        </is>
      </c>
      <c r="F244" s="13" t="inlineStr">
        <is>
          <t>F-BL-04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TC-BL-04</t>
        </is>
      </c>
      <c r="C245" s="18" t="inlineStr">
        <is>
          <t>P1</t>
        </is>
      </c>
      <c r="D245" s="16" t="inlineStr">
        <is>
          <t>Matikan saklar langganan pada resto berbayar yang menunggak</t>
        </is>
      </c>
      <c r="E245" s="16" t="inlineStr">
        <is>
          <t>Tidak terkunci</t>
        </is>
      </c>
      <c r="F245" s="16" t="inlineStr">
        <is>
          <t>F-BL-05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TC-BL-05</t>
        </is>
      </c>
      <c r="C246" s="19" t="inlineStr">
        <is>
          <t>P2</t>
        </is>
      </c>
      <c r="D246" s="13" t="inlineStr">
        <is>
          <t>Coba pilih tanggal tagihan 29, 30, atau 31</t>
        </is>
      </c>
      <c r="E246" s="13" t="inlineStr">
        <is>
          <t>Tidak tersedia di pilihan — hanya 1 sampai 28</t>
        </is>
      </c>
      <c r="F246" s="13" t="inlineStr">
        <is>
          <t>F-BL-02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TC-BL-06</t>
        </is>
      </c>
      <c r="C247" s="20" t="inlineStr">
        <is>
          <t>P2</t>
        </is>
      </c>
      <c r="D247" s="16" t="inlineStr">
        <is>
          <t>Ketuk Terbitkan tagihan sekarang dua kali beruntun</t>
        </is>
      </c>
      <c r="E247" s="16" t="inlineStr">
        <is>
          <t>Tagihan tetap satu untuk periode itu</t>
        </is>
      </c>
      <c r="F247" s="16" t="inlineStr">
        <is>
          <t>F-BL-08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TC-BL-07</t>
        </is>
      </c>
      <c r="C248" s="15" t="inlineStr">
        <is>
          <t>P1</t>
        </is>
      </c>
      <c r="D248" s="13" t="inlineStr">
        <is>
          <t>Setel jatuh tempo 3 hari lagi, buka aplikasi sebagai Kasir</t>
        </is>
      </c>
      <c r="E248" s="13" t="inlineStr">
        <is>
          <t>Pita pengingat tampil di atas layar; isi layarnya tetap bisa dipakai</t>
        </is>
      </c>
      <c r="F248" s="13" t="inlineStr">
        <is>
          <t>F-BL-09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TC-BL-08</t>
        </is>
      </c>
      <c r="C249" s="20" t="inlineStr">
        <is>
          <t>P2</t>
        </is>
      </c>
      <c r="D249" s="16" t="inlineStr">
        <is>
          <t>Setel jatuh tempo 4 hari lagi</t>
        </is>
      </c>
      <c r="E249" s="16" t="inlineStr">
        <is>
          <t>Pita belum tampil</t>
        </is>
      </c>
      <c r="F249" s="16" t="inlineStr">
        <is>
          <t>F-BL-09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TC-BL-09</t>
        </is>
      </c>
      <c r="C250" s="15" t="inlineStr">
        <is>
          <t>P1</t>
        </is>
      </c>
      <c r="D250" s="13" t="inlineStr">
        <is>
          <t>Lewati jatuh tempo, masih dalam tenggang</t>
        </is>
      </c>
      <c r="E250" s="13" t="inlineStr">
        <is>
          <t>Pita berubah merah; aplikasi belum terkunci</t>
        </is>
      </c>
      <c r="F250" s="13" t="inlineStr">
        <is>
          <t>F-BL-03, F-BL-10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TC-BL-10</t>
        </is>
      </c>
      <c r="C251" s="18" t="inlineStr">
        <is>
          <t>P1</t>
        </is>
      </c>
      <c r="D251" s="16" t="inlineStr">
        <is>
          <t>Lewati tenggang, tagihan belum dibayar</t>
        </is>
      </c>
      <c r="E251" s="16" t="inlineStr">
        <is>
          <t>Seluruh layar diganti halaman Aplikasi Terkunci Sementara</t>
        </is>
      </c>
      <c r="F251" s="16" t="inlineStr">
        <is>
          <t>F-BL-15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TC-BL-11</t>
        </is>
      </c>
      <c r="C252" s="15" t="inlineStr">
        <is>
          <t>P1</t>
        </is>
      </c>
      <c r="D252" s="13" t="inlineStr">
        <is>
          <t>Pada keadaan terkunci, coba buat pesanan lewat API langsung</t>
        </is>
      </c>
      <c r="E252" s="13" t="inlineStr">
        <is>
          <t>Ditolak database — bukan hanya layarnya yang menutup</t>
        </is>
      </c>
      <c r="F252" s="13" t="inlineStr">
        <is>
          <t>F-BL-18, TSD §7.3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TC-BL-12</t>
        </is>
      </c>
      <c r="C253" s="18" t="inlineStr">
        <is>
          <t>P1</t>
        </is>
      </c>
      <c r="D253" s="16" t="inlineStr">
        <is>
          <t>Pada keadaan terkunci, ketuk Lihat &amp; Bayar Tagihan</t>
        </is>
      </c>
      <c r="E253" s="16" t="inlineStr">
        <is>
          <t>Layar tagihan terbuka dan bisa dipakai</t>
        </is>
      </c>
      <c r="F253" s="16" t="inlineStr">
        <is>
          <t>F-BL-16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TC-BL-13</t>
        </is>
      </c>
      <c r="C254" s="15" t="inlineStr">
        <is>
          <t>P1</t>
        </is>
      </c>
      <c r="D254" s="13" t="inlineStr">
        <is>
          <t>Pada keadaan terkunci, ketuk Keluar</t>
        </is>
      </c>
      <c r="E254" s="13" t="inlineStr">
        <is>
          <t>Berhasil keluar akun</t>
        </is>
      </c>
      <c r="F254" s="13" t="inlineStr">
        <is>
          <t>F-BL-16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TC-BL-14</t>
        </is>
      </c>
      <c r="C255" s="18" t="inlineStr">
        <is>
          <t>P1</t>
        </is>
      </c>
      <c r="D255" s="16" t="inlineStr">
        <is>
          <t>Ketuk Buat Virtual Account → pilih BCA</t>
        </is>
      </c>
      <c r="E255" s="16" t="inlineStr">
        <is>
          <t>Nomor VA tampil berikut nominal dan masa berlakunya</t>
        </is>
      </c>
      <c r="F255" s="16" t="inlineStr">
        <is>
          <t>F-BL-11, F-BL-19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TC-BL-14b</t>
        </is>
      </c>
      <c r="C256" s="15" t="inlineStr">
        <is>
          <t>P1</t>
        </is>
      </c>
      <c r="D256" s="13" t="inlineStr">
        <is>
          <t>Tutup layar, buka lagi, ketuk lagi</t>
        </is>
      </c>
      <c r="E256" s="13" t="inlineStr">
        <is>
          <t>Nomor VA sama, tidak diterbitkan yang baru</t>
        </is>
      </c>
      <c r="F256" s="13" t="inlineStr">
        <is>
          <t>F-BL-23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TC-BL-14c</t>
        </is>
      </c>
      <c r="C257" s="18" t="inlineStr">
        <is>
          <t>P1</t>
        </is>
      </c>
      <c r="D257" s="16" t="inlineStr">
        <is>
          <t>Transfer tepat sesuai nominal ke VA itu</t>
        </is>
      </c>
      <c r="E257" s="16" t="inlineStr">
        <is>
          <t>Tagihan lunas sendiri dalam hitungan detik; kunci terbuka tanpa mengirim bukti</t>
        </is>
      </c>
      <c r="F257" s="16" t="inlineStr">
        <is>
          <t>F-BL-22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TC-BL-14d</t>
        </is>
      </c>
      <c r="C258" s="15" t="inlineStr">
        <is>
          <t>P1</t>
        </is>
      </c>
      <c r="D258" s="13" t="inlineStr">
        <is>
          <t>Transfer kurang dari nominal</t>
        </is>
      </c>
      <c r="E258" s="13" t="inlineStr">
        <is>
          <t>Tidak melunasi; tagihan tetap terbuka</t>
        </is>
      </c>
      <c r="F258" s="13" t="inlineStr">
        <is>
          <t>F-BL-20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TC-BL-14e</t>
        </is>
      </c>
      <c r="C259" s="20" t="inlineStr">
        <is>
          <t>P2</t>
        </is>
      </c>
      <c r="D259" s="16" t="inlineStr">
        <is>
          <t>Ketuk Ganti Bank → pilih BNI</t>
        </is>
      </c>
      <c r="E259" s="16" t="inlineStr">
        <is>
          <t>Nomor VA baru untuk bank itu</t>
        </is>
      </c>
      <c r="F259" s="16" t="inlineStr">
        <is>
          <t>F-BL-19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TC-BL-14f</t>
        </is>
      </c>
      <c r="C260" s="15" t="inlineStr">
        <is>
          <t>P1</t>
        </is>
      </c>
      <c r="D260" s="13" t="inlineStr">
        <is>
          <t>Periksa rekening tujuan dana VA di Dashboard Xendit</t>
        </is>
      </c>
      <c r="E260" s="13" t="inlineStr">
        <is>
          <t>Masuk ke akun KaataGo, bukan sub-akun resto</t>
        </is>
      </c>
      <c r="F260" s="13" t="inlineStr">
        <is>
          <t>F-BL-11, TSD §7.3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TC-BL-14g</t>
        </is>
      </c>
      <c r="C261" s="18" t="inlineStr">
        <is>
          <t>P1</t>
        </is>
      </c>
      <c r="D261" s="16" t="inlineStr">
        <is>
          <t>Kirim callback palsu ke xendit-billing-webhook tanpa token</t>
        </is>
      </c>
      <c r="E261" s="16" t="inlineStr">
        <is>
          <t>Ditolak 401; tagihan tidak berubah</t>
        </is>
      </c>
      <c r="F261" s="16" t="inlineStr">
        <is>
          <t>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TC-BL-14h</t>
        </is>
      </c>
      <c r="C262" s="19" t="inlineStr">
        <is>
          <t>P2</t>
        </is>
      </c>
      <c r="D262" s="13" t="inlineStr">
        <is>
          <t>Xendit mengirim callback yang sama dua kali</t>
        </is>
      </c>
      <c r="E262" s="13" t="inlineStr">
        <is>
          <t>Tagihan tetap lunas sekali; catatan pelunasnya tidak berubah</t>
        </is>
      </c>
      <c r="F262" s="13" t="inlineStr">
        <is>
          <t>TSD §7.3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TC-BL-14i</t>
        </is>
      </c>
      <c r="C263" s="20" t="inlineStr">
        <is>
          <t>P2</t>
        </is>
      </c>
      <c r="D263" s="16" t="inlineStr">
        <is>
          <t>Unggah bukti transfer manual lewat jalur cadangan</t>
        </is>
      </c>
      <c r="E263" s="16" t="inlineStr">
        <is>
          <t>Status jadi Menunggu Verifikasi; aplikasi terbuka lagi</t>
        </is>
      </c>
      <c r="F263" s="16" t="inlineStr">
        <is>
          <t>F-BL-24, F-BL-12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TC-BL-26</t>
        </is>
      </c>
      <c r="C264" s="19" t="inlineStr">
        <is>
          <t>P2</t>
        </is>
      </c>
      <c r="D264" s="13" t="inlineStr">
        <is>
          <t>Dengan kunci uji Xendit, buka tagihan ber-VA</t>
        </is>
      </c>
      <c r="E264" s="13" t="inlineStr">
        <is>
          <t>Tombol Simulasikan Pembayaran muncul</t>
        </is>
      </c>
      <c r="F264" s="13" t="inlineStr">
        <is>
          <t>TSD §7.3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TC-BL-27</t>
        </is>
      </c>
      <c r="C265" s="18" t="inlineStr">
        <is>
          <t>P1</t>
        </is>
      </c>
      <c r="D265" s="16" t="inlineStr">
        <is>
          <t>Ketuk Simulasikan Pembayaran</t>
        </is>
      </c>
      <c r="E265" s="16" t="inlineStr">
        <is>
          <t>Tagihan jadi Lunas sendiri lewat webhook; kunci resto terbuka</t>
        </is>
      </c>
      <c r="F265" s="16" t="inlineStr">
        <is>
          <t>F-BL-22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TC-BL-28</t>
        </is>
      </c>
      <c r="C266" s="15" t="inlineStr">
        <is>
          <t>P1</t>
        </is>
      </c>
      <c r="D266" s="13" t="inlineStr">
        <is>
          <t>Pasang kunci produksi Xendit, buka layar yang sama</t>
        </is>
      </c>
      <c r="E266" s="13" t="inlineStr">
        <is>
          <t>Tombol simulasi hilang sendiri</t>
        </is>
      </c>
      <c r="F266" s="13" t="inlineStr">
        <is>
          <t>TSD §7.3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TC-BL-29</t>
        </is>
      </c>
      <c r="C267" s="18" t="inlineStr">
        <is>
          <t>P1</t>
        </is>
      </c>
      <c r="D267" s="16" t="inlineStr">
        <is>
          <t>Buat diskon langganan setelah tagihan terbit → ketuk segarkan di Super Admin</t>
        </is>
      </c>
      <c r="E267" s="16" t="inlineStr">
        <is>
          <t>Nominal tagihan turun; nomor VA lama dibuang</t>
        </is>
      </c>
      <c r="F267" s="16" t="inlineStr">
        <is>
          <t>F-BL-05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TC-BL-30</t>
        </is>
      </c>
      <c r="C268" s="15" t="inlineStr">
        <is>
          <t>P1</t>
        </is>
      </c>
      <c r="D268" s="13" t="inlineStr">
        <is>
          <t>Buat VA baru setelah nominalnya berubah</t>
        </is>
      </c>
      <c r="E268" s="13" t="inlineStr">
        <is>
          <t>Nominalnya sesuai yang sudah dipotong</t>
        </is>
      </c>
      <c r="F268" s="13" t="inlineStr">
        <is>
          <t>F-BL-20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TC-BL-15</t>
        </is>
      </c>
      <c r="C269" s="18" t="inlineStr">
        <is>
          <t>P1</t>
        </is>
      </c>
      <c r="D269" s="16" t="inlineStr">
        <is>
          <t>Coba kirim bukti tanpa melampirkan foto</t>
        </is>
      </c>
      <c r="E269" s="16" t="inlineStr">
        <is>
          <t>Tombol Kirim mati</t>
        </is>
      </c>
      <c r="F269" s="16" t="inlineStr">
        <is>
          <t>F-BL-11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TC-BL-16</t>
        </is>
      </c>
      <c r="C270" s="15" t="inlineStr">
        <is>
          <t>P1</t>
        </is>
      </c>
      <c r="D270" s="13" t="inlineStr">
        <is>
          <t>Super Admin → tab Tagihan → Terima</t>
        </is>
      </c>
      <c r="E270" s="13" t="inlineStr">
        <is>
          <t>Status jadi Lunas; resto tetap terbuka; pita hilang</t>
        </is>
      </c>
      <c r="F270" s="13" t="inlineStr">
        <is>
          <t>F-BL-13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TC-BL-17</t>
        </is>
      </c>
      <c r="C271" s="18" t="inlineStr">
        <is>
          <t>P1</t>
        </is>
      </c>
      <c r="D271" s="16" t="inlineStr">
        <is>
          <t>Super Admin → Tolak tanpa mengisi alasan</t>
        </is>
      </c>
      <c r="E271" s="16" t="inlineStr">
        <is>
          <t>Tombol Tolak tidak menyelesaikan apa-apa — alasan wajib</t>
        </is>
      </c>
      <c r="F271" s="16" t="inlineStr">
        <is>
          <t>F-BL-14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TC-BL-18</t>
        </is>
      </c>
      <c r="C272" s="15" t="inlineStr">
        <is>
          <t>P1</t>
        </is>
      </c>
      <c r="D272" s="13" t="inlineStr">
        <is>
          <t>Tolak berikut alasan, lalu buka layar Tagihan dari sisi resto</t>
        </is>
      </c>
      <c r="E272" s="13" t="inlineStr">
        <is>
          <t>Alasannya terbaca; kalau sudah lewat tenggang, terkunci lagi</t>
        </is>
      </c>
      <c r="F272" s="13" t="inlineStr">
        <is>
          <t>F-BL-14, F-BL-15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TC-BL-19</t>
        </is>
      </c>
      <c r="C273" s="18" t="inlineStr">
        <is>
          <t>P1</t>
        </is>
      </c>
      <c r="D273" s="16" t="inlineStr">
        <is>
          <t>Login sebagai Super Admin saat ada resto terkunci</t>
        </is>
      </c>
      <c r="E273" s="16" t="inlineStr">
        <is>
          <t>Tidak terkunci sama sekali</t>
        </is>
      </c>
      <c r="F273" s="16" t="inlineStr">
        <is>
          <t>F-BL-17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TC-BL-20</t>
        </is>
      </c>
      <c r="C274" s="15" t="inlineStr">
        <is>
          <t>P1</t>
        </is>
      </c>
      <c r="D274" s="13" t="inlineStr">
        <is>
          <t>Sebagai resto terkunci, coba ubah harga produk</t>
        </is>
      </c>
      <c r="E274" s="13" t="inlineStr">
        <is>
          <t>Ditolak — katalog ikut dibekukan</t>
        </is>
      </c>
      <c r="F274" s="13" t="inlineStr">
        <is>
          <t>F-BL-18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TC-BL-21</t>
        </is>
      </c>
      <c r="C275" s="18" t="inlineStr">
        <is>
          <t>P1</t>
        </is>
      </c>
      <c r="D275" s="16" t="inlineStr">
        <is>
          <t>Resto A terkunci; buka aplikasi sebagai karyawan resto B</t>
        </is>
      </c>
      <c r="E275" s="16" t="inlineStr">
        <is>
          <t>Resto B tidak terpengaruh</t>
        </is>
      </c>
      <c r="F275" s="16" t="inlineStr">
        <is>
          <t>F-BL-15, A-10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TC-BL-22</t>
        </is>
      </c>
      <c r="C276" s="15" t="inlineStr">
        <is>
          <t>P1</t>
        </is>
      </c>
      <c r="D276" s="13" t="inlineStr">
        <is>
          <t>Coba panggil review_billing_payment sebagai Owner resto</t>
        </is>
      </c>
      <c r="E276" s="13" t="inlineStr">
        <is>
          <t>Ditolak — hanya Super Admin</t>
        </is>
      </c>
      <c r="F276" s="13" t="inlineStr">
        <is>
          <t>F-BL-13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TC-BL-23</t>
        </is>
      </c>
      <c r="C277" s="18" t="inlineStr">
        <is>
          <t>P1</t>
        </is>
      </c>
      <c r="D277" s="16" t="inlineStr">
        <is>
          <t>Coba UPDATE billing_invoices SET status='paid' sebagai Owner</t>
        </is>
      </c>
      <c r="E277" s="16" t="inlineStr">
        <is>
          <t>Ditolak</t>
        </is>
      </c>
      <c r="F277" s="16" t="inlineStr">
        <is>
          <t>F-BL-13, TSD §7.3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TC-BL-24</t>
        </is>
      </c>
      <c r="C278" s="19" t="inlineStr">
        <is>
          <t>P2</t>
        </is>
      </c>
      <c r="D278" s="13" t="inlineStr">
        <is>
          <t>Matikan sambungan, buka aplikasi resto berbayar yang lancar</t>
        </is>
      </c>
      <c r="E278" s="13" t="inlineStr">
        <is>
          <t>Tidak terkunci karena gagal memeriksa</t>
        </is>
      </c>
      <c r="F278" s="13" t="inlineStr">
        <is>
          <t>TSD §7.3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TC-BL-25</t>
        </is>
      </c>
      <c r="C279" s="20" t="inlineStr">
        <is>
          <t>P2</t>
        </is>
      </c>
      <c r="D279" s="16" t="inlineStr">
        <is>
          <t>Owner → Tagihan Langganan</t>
        </is>
      </c>
      <c r="E279" s="16" t="inlineStr">
        <is>
          <t>Terbuka, memuat paket dan riwayat tagihan</t>
        </is>
      </c>
      <c r="F279" s="16" t="inlineStr">
        <is>
          <t>F-BL-11</t>
        </is>
      </c>
      <c r="G279" s="16" t="inlineStr"/>
      <c r="H279" s="16" t="inlineStr"/>
      <c r="I279" s="16" t="inlineStr"/>
    </row>
    <row r="280">
      <c r="A280" s="13" t="inlineStr">
        <is>
          <t>## 19c. Finance KaataGo (Super Admin)</t>
        </is>
      </c>
      <c r="B280" s="14" t="inlineStr">
        <is>
          <t>TC-PF-01</t>
        </is>
      </c>
      <c r="C280" s="15" t="inlineStr">
        <is>
          <t>P1</t>
        </is>
      </c>
      <c r="D280" s="13" t="inlineStr">
        <is>
          <t>Super Admin → Finance → Riwayat Langganan</t>
        </is>
      </c>
      <c r="E280" s="13" t="inlineStr">
        <is>
          <t>Tagihan lunas tampil, dikelompokkan per bulan, dengan total</t>
        </is>
      </c>
      <c r="F280" s="13" t="inlineStr">
        <is>
          <t>F-PF-01</t>
        </is>
      </c>
      <c r="G280" s="13" t="inlineStr"/>
      <c r="H280" s="13" t="inlineStr"/>
      <c r="I280" s="13" t="inlineStr"/>
    </row>
    <row r="281">
      <c r="A281" s="16" t="inlineStr">
        <is>
          <t>## 19c. Finance KaataGo (Super Admin)</t>
        </is>
      </c>
      <c r="B281" s="17" t="inlineStr">
        <is>
          <t>TC-PF-02</t>
        </is>
      </c>
      <c r="C281" s="20" t="inlineStr">
        <is>
          <t>P2</t>
        </is>
      </c>
      <c r="D281" s="16" t="inlineStr">
        <is>
          <t>Periksa penanda jalur pelunasan tiap baris</t>
        </is>
      </c>
      <c r="E281" s="16" t="inlineStr">
        <is>
          <t>Tertulis VA atau manual sesuai cara lunasnya</t>
        </is>
      </c>
      <c r="F281" s="16" t="inlineStr">
        <is>
          <t>F-PF-02</t>
        </is>
      </c>
      <c r="G281" s="16" t="inlineStr"/>
      <c r="H281" s="16" t="inlineStr"/>
      <c r="I281" s="16" t="inlineStr"/>
    </row>
    <row r="282">
      <c r="A282" s="13" t="inlineStr">
        <is>
          <t>## 19c. Finance KaataGo (Super Admin)</t>
        </is>
      </c>
      <c r="B282" s="14" t="inlineStr">
        <is>
          <t>TC-PF-03</t>
        </is>
      </c>
      <c r="C282" s="15" t="inlineStr">
        <is>
          <t>P1</t>
        </is>
      </c>
      <c r="D282" s="13" t="inlineStr">
        <is>
          <t>Buat diskon langganan 20% untuk satu resto → terbitkan tagihan</t>
        </is>
      </c>
      <c r="E282" s="13" t="inlineStr">
        <is>
          <t>Tagihan resto itu berkurang 20%; resto lain tetap penuh</t>
        </is>
      </c>
      <c r="F282" s="13" t="inlineStr">
        <is>
          <t>F-PF-03, F-PF-05</t>
        </is>
      </c>
      <c r="G282" s="13" t="inlineStr"/>
      <c r="H282" s="13" t="inlineStr"/>
      <c r="I282" s="13" t="inlineStr"/>
    </row>
    <row r="283">
      <c r="A283" s="16" t="inlineStr">
        <is>
          <t>## 19c. Finance KaataGo (Super Admin)</t>
        </is>
      </c>
      <c r="B283" s="17" t="inlineStr">
        <is>
          <t>TC-PF-04</t>
        </is>
      </c>
      <c r="C283" s="18" t="inlineStr">
        <is>
          <t>P1</t>
        </is>
      </c>
      <c r="D283" s="16" t="inlineStr">
        <is>
          <t>Simpan diskon tanpa memilih resto</t>
        </is>
      </c>
      <c r="E283" s="16" t="inlineStr">
        <is>
          <t>Ditolak — diskon tanpa sasaran tidak mengenai siapa pun</t>
        </is>
      </c>
      <c r="F283" s="16" t="inlineStr">
        <is>
          <t>F-PF-03</t>
        </is>
      </c>
      <c r="G283" s="16" t="inlineStr"/>
      <c r="H283" s="16" t="inlineStr"/>
      <c r="I283" s="16" t="inlineStr"/>
    </row>
    <row r="284">
      <c r="A284" s="13" t="inlineStr">
        <is>
          <t>## 19c. Finance KaataGo (Super Admin)</t>
        </is>
      </c>
      <c r="B284" s="14" t="inlineStr">
        <is>
          <t>TC-PF-05</t>
        </is>
      </c>
      <c r="C284" s="19" t="inlineStr">
        <is>
          <t>P2</t>
        </is>
      </c>
      <c r="D284" s="13" t="inlineStr">
        <is>
          <t>Buat diskon rupiah lebih besar daripada harga langganan</t>
        </is>
      </c>
      <c r="E284" s="13" t="inlineStr">
        <is>
          <t>Potongannya berhenti di harga; tagihan tidak pernah negatif</t>
        </is>
      </c>
      <c r="F284" s="13" t="inlineStr">
        <is>
          <t>F-PF-03</t>
        </is>
      </c>
      <c r="G284" s="13" t="inlineStr"/>
      <c r="H284" s="13" t="inlineStr"/>
      <c r="I284" s="13" t="inlineStr"/>
    </row>
    <row r="285">
      <c r="A285" s="16" t="inlineStr">
        <is>
          <t>## 19c. Finance KaataGo (Super Admin)</t>
        </is>
      </c>
      <c r="B285" s="17" t="inlineStr">
        <is>
          <t>TC-PF-06</t>
        </is>
      </c>
      <c r="C285" s="20" t="inlineStr">
        <is>
          <t>P2</t>
        </is>
      </c>
      <c r="D285" s="16" t="inlineStr">
        <is>
          <t>Nonaktifkan diskon, terbitkan tagihan berikutnya</t>
        </is>
      </c>
      <c r="E285" s="16" t="inlineStr">
        <is>
          <t>Tidak memotong; diskonnya tetap ada di daftar</t>
        </is>
      </c>
      <c r="F285" s="16" t="inlineStr">
        <is>
          <t>F-PF-04</t>
        </is>
      </c>
      <c r="G285" s="16" t="inlineStr"/>
      <c r="H285" s="16" t="inlineStr"/>
      <c r="I285" s="16" t="inlineStr"/>
    </row>
    <row r="286">
      <c r="A286" s="13" t="inlineStr">
        <is>
          <t>## 19c. Finance KaataGo (Super Admin)</t>
        </is>
      </c>
      <c r="B286" s="14" t="inlineStr">
        <is>
          <t>TC-PF-07</t>
        </is>
      </c>
      <c r="C286" s="15" t="inlineStr">
        <is>
          <t>P1</t>
        </is>
      </c>
      <c r="D286" s="13" t="inlineStr">
        <is>
          <t>Hapus diskon setelah tagihan terbit</t>
        </is>
      </c>
      <c r="E286" s="13" t="inlineStr">
        <is>
          <t>Tagihan yang sudah terbit tetap menyebut potongannya</t>
        </is>
      </c>
      <c r="F286" s="13" t="inlineStr">
        <is>
          <t>F-PF-05</t>
        </is>
      </c>
      <c r="G286" s="13" t="inlineStr"/>
      <c r="H286" s="13" t="inlineStr"/>
      <c r="I286" s="13" t="inlineStr"/>
    </row>
    <row r="287">
      <c r="A287" s="16" t="inlineStr">
        <is>
          <t>## 19c. Finance KaataGo (Super Admin)</t>
        </is>
      </c>
      <c r="B287" s="17" t="inlineStr">
        <is>
          <t>TC-PF-08</t>
        </is>
      </c>
      <c r="C287" s="18" t="inlineStr">
        <is>
          <t>P1</t>
        </is>
      </c>
      <c r="D287" s="16" t="inlineStr">
        <is>
          <t>Bayar tagihan berdiskon → buka Jurnal GL KaataGo</t>
        </is>
      </c>
      <c r="E287" s="16" t="inlineStr">
        <is>
          <t>Dua baris: pendapatan kredit, diskon debit</t>
        </is>
      </c>
      <c r="F287" s="16" t="inlineStr">
        <is>
          <t>F-PF-06, F-PF-07</t>
        </is>
      </c>
      <c r="G287" s="16" t="inlineStr"/>
      <c r="H287" s="16" t="inlineStr"/>
      <c r="I287" s="16" t="inlineStr"/>
    </row>
    <row r="288">
      <c r="A288" s="13" t="inlineStr">
        <is>
          <t>## 19c. Finance KaataGo (Super Admin)</t>
        </is>
      </c>
      <c r="B288" s="14" t="inlineStr">
        <is>
          <t>TC-PF-09</t>
        </is>
      </c>
      <c r="C288" s="15" t="inlineStr">
        <is>
          <t>P1</t>
        </is>
      </c>
      <c r="D288" s="13" t="inlineStr">
        <is>
          <t>Tagihan ditolak lalu diterima lagi</t>
        </is>
      </c>
      <c r="E288" s="13" t="inlineStr">
        <is>
          <t>Jurnalnya tetap satu set — pendapatan tidak tercatat dua kali</t>
        </is>
      </c>
      <c r="F288" s="13" t="inlineStr">
        <is>
          <t>F-PF-07</t>
        </is>
      </c>
      <c r="G288" s="13" t="inlineStr"/>
      <c r="H288" s="13" t="inlineStr"/>
      <c r="I288" s="13" t="inlineStr"/>
    </row>
    <row r="289">
      <c r="A289" s="16" t="inlineStr">
        <is>
          <t>## 19c. Finance KaataGo (Super Admin)</t>
        </is>
      </c>
      <c r="B289" s="17" t="inlineStr">
        <is>
          <t>TC-PF-10</t>
        </is>
      </c>
      <c r="C289" s="18" t="inlineStr">
        <is>
          <t>P1</t>
        </is>
      </c>
      <c r="D289" s="16" t="inlineStr">
        <is>
          <t>Buka Jurnal GL resto yang membayar</t>
        </is>
      </c>
      <c r="E289" s="16" t="inlineStr">
        <is>
          <t>Tidak ada baris pendapatan langganan di sana</t>
        </is>
      </c>
      <c r="F289" s="16" t="inlineStr">
        <is>
          <t>F-PF-07</t>
        </is>
      </c>
      <c r="G289" s="16" t="inlineStr"/>
      <c r="H289" s="16" t="inlineStr"/>
      <c r="I289" s="16" t="inlineStr"/>
    </row>
    <row r="290">
      <c r="A290" s="13" t="inlineStr">
        <is>
          <t>## 19c. Finance KaataGo (Super Admin)</t>
        </is>
      </c>
      <c r="B290" s="14" t="inlineStr">
        <is>
          <t>TC-PF-11</t>
        </is>
      </c>
      <c r="C290" s="19" t="inlineStr">
        <is>
          <t>P2</t>
        </is>
      </c>
      <c r="D290" s="13" t="inlineStr">
        <is>
          <t>Buka Mapping GL Account KaataGo</t>
        </is>
      </c>
      <c r="E290" s="13" t="inlineStr">
        <is>
          <t>Bagan akun 11xxxxx lengkap, berbeda dari 19xxxxx milik resto</t>
        </is>
      </c>
      <c r="F290" s="13" t="inlineStr">
        <is>
          <t>F-PF-08</t>
        </is>
      </c>
      <c r="G290" s="13" t="inlineStr"/>
      <c r="H290" s="13" t="inlineStr"/>
      <c r="I290" s="13" t="inlineStr"/>
    </row>
    <row r="291">
      <c r="A291" s="16" t="inlineStr">
        <is>
          <t>## 19c. Finance KaataGo (Super Admin)</t>
        </is>
      </c>
      <c r="B291" s="17" t="inlineStr">
        <is>
          <t>TC-PF-12</t>
        </is>
      </c>
      <c r="C291" s="20" t="inlineStr">
        <is>
          <t>P2</t>
        </is>
      </c>
      <c r="D291" s="16" t="inlineStr">
        <is>
          <t>Catat pengeluaran dan top up petty cash KaataGo</t>
        </is>
      </c>
      <c r="E291" s="16" t="inlineStr">
        <is>
          <t>Bekerja sama seperti di resto</t>
        </is>
      </c>
      <c r="F291" s="16" t="inlineStr">
        <is>
          <t>F-PF-09</t>
        </is>
      </c>
      <c r="G291" s="16" t="inlineStr"/>
      <c r="H291" s="16" t="inlineStr"/>
      <c r="I291" s="16" t="inlineStr"/>
    </row>
    <row r="292">
      <c r="A292" s="13" t="inlineStr">
        <is>
          <t>## 19c. Finance KaataGo (Super Admin)</t>
        </is>
      </c>
      <c r="B292" s="14" t="inlineStr">
        <is>
          <t>TC-PF-13</t>
        </is>
      </c>
      <c r="C292" s="15" t="inlineStr">
        <is>
          <t>P1</t>
        </is>
      </c>
      <c r="D292" s="13" t="inlineStr">
        <is>
          <t>Telusuri menu Finance KaataGo</t>
        </is>
      </c>
      <c r="E292" s="13" t="inlineStr">
        <is>
          <t>Tidak ada Setor Saldo Cash</t>
        </is>
      </c>
      <c r="F292" s="13" t="inlineStr">
        <is>
          <t>F-PF-10</t>
        </is>
      </c>
      <c r="G292" s="13" t="inlineStr"/>
      <c r="H292" s="13" t="inlineStr"/>
      <c r="I292" s="13" t="inlineStr"/>
    </row>
    <row r="293">
      <c r="A293" s="16" t="inlineStr">
        <is>
          <t>## 19c. Finance KaataGo (Super Admin)</t>
        </is>
      </c>
      <c r="B293" s="17" t="inlineStr">
        <is>
          <t>TC-PF-14</t>
        </is>
      </c>
      <c r="C293" s="18" t="inlineStr">
        <is>
          <t>P1</t>
        </is>
      </c>
      <c r="D293" s="16" t="inlineStr">
        <is>
          <t>Buka Jurnal GL Semua Resto</t>
        </is>
      </c>
      <c r="E293" s="16" t="inlineStr">
        <is>
          <t>Jurnal seluruh resto tampil, bisa disaring per resto</t>
        </is>
      </c>
      <c r="F293" s="16" t="inlineStr">
        <is>
          <t>F-PF-11</t>
        </is>
      </c>
      <c r="G293" s="16" t="inlineStr"/>
      <c r="H293" s="16" t="inlineStr"/>
      <c r="I293" s="16" t="inlineStr"/>
    </row>
    <row r="294">
      <c r="A294" s="13" t="inlineStr">
        <is>
          <t>## 19c. Finance KaataGo (Super Admin)</t>
        </is>
      </c>
      <c r="B294" s="14" t="inlineStr">
        <is>
          <t>TC-PF-15</t>
        </is>
      </c>
      <c r="C294" s="15" t="inlineStr">
        <is>
          <t>P1</t>
        </is>
      </c>
      <c r="D294" s="13" t="inlineStr">
        <is>
          <t>Cari cara mengubah baris di Jurnal GL Semua Resto</t>
        </is>
      </c>
      <c r="E294" s="13" t="inlineStr">
        <is>
          <t>Tidak ada satu pun — hanya bisa dilihat</t>
        </is>
      </c>
      <c r="F294" s="13" t="inlineStr">
        <is>
          <t>F-PF-12</t>
        </is>
      </c>
      <c r="G294" s="13" t="inlineStr"/>
      <c r="H294" s="13" t="inlineStr"/>
      <c r="I294" s="13" t="inlineStr"/>
    </row>
    <row r="295">
      <c r="A295" s="16" t="inlineStr">
        <is>
          <t>## 19c. Finance KaataGo (Super Admin)</t>
        </is>
      </c>
      <c r="B295" s="17" t="inlineStr">
        <is>
          <t>TC-PF-16</t>
        </is>
      </c>
      <c r="C295" s="18" t="inlineStr">
        <is>
          <t>P1</t>
        </is>
      </c>
      <c r="D295" s="16" t="inlineStr">
        <is>
          <t>Coba UPDATE gl_journal_entries sebagai Super Admin lewat API</t>
        </is>
      </c>
      <c r="E295" s="16" t="inlineStr">
        <is>
          <t>Ditolak</t>
        </is>
      </c>
      <c r="F295" s="16" t="inlineStr">
        <is>
          <t>F-PF-12, TSD §7.4</t>
        </is>
      </c>
      <c r="G295" s="16" t="inlineStr"/>
      <c r="H295" s="16" t="inlineStr"/>
      <c r="I295" s="16" t="inlineStr"/>
    </row>
    <row r="296">
      <c r="A296" s="13" t="inlineStr">
        <is>
          <t>## 19c. Finance KaataGo (Super Admin)</t>
        </is>
      </c>
      <c r="B296" s="14" t="inlineStr">
        <is>
          <t>TC-PF-17</t>
        </is>
      </c>
      <c r="C296" s="15" t="inlineStr">
        <is>
          <t>P1</t>
        </is>
      </c>
      <c r="D296" s="13" t="inlineStr">
        <is>
          <t>Buka Pilih Resto sebagai pelanggan</t>
        </is>
      </c>
      <c r="E296" s="13" t="inlineStr">
        <is>
          <t>KaataGo tidak muncul di daftar mana pun</t>
        </is>
      </c>
      <c r="F296" s="13" t="inlineStr">
        <is>
          <t>TSD §7.4</t>
        </is>
      </c>
      <c r="G296" s="13" t="inlineStr"/>
      <c r="H296" s="13" t="inlineStr"/>
      <c r="I296" s="13" t="inlineStr"/>
    </row>
    <row r="297">
      <c r="A297" s="16" t="inlineStr">
        <is>
          <t>## 19c. Finance KaataGo (Super Admin)</t>
        </is>
      </c>
      <c r="B297" s="17" t="inlineStr">
        <is>
          <t>TC-PF-18</t>
        </is>
      </c>
      <c r="C297" s="18" t="inlineStr">
        <is>
          <t>P1</t>
        </is>
      </c>
      <c r="D297" s="16" t="inlineStr">
        <is>
          <t>Buka List Resto dan Billing Resto sebagai Super Admin</t>
        </is>
      </c>
      <c r="E297" s="16" t="inlineStr">
        <is>
          <t>KaataGo tidak muncul sebagai resto yang bisa ditagih</t>
        </is>
      </c>
      <c r="F297" s="16" t="inlineStr">
        <is>
          <t>TSD §7.4</t>
        </is>
      </c>
      <c r="G297" s="16" t="inlineStr"/>
      <c r="H297" s="16" t="inlineStr"/>
      <c r="I297" s="16" t="inlineStr"/>
    </row>
    <row r="298">
      <c r="A298" s="13" t="inlineStr">
        <is>
          <t>## 19c. Finance KaataGo (Super Admin)</t>
        </is>
      </c>
      <c r="B298" s="14" t="inlineStr">
        <is>
          <t>TC-PF-19</t>
        </is>
      </c>
      <c r="C298" s="19" t="inlineStr">
        <is>
          <t>P2</t>
        </is>
      </c>
      <c r="D298" s="13" t="inlineStr">
        <is>
          <t>Buka Diskon Langganan sebagai Owner resto</t>
        </is>
      </c>
      <c r="E298" s="13" t="inlineStr">
        <is>
          <t>Hanya diskon yang mengenai restonya yang terbaca</t>
        </is>
      </c>
      <c r="F298" s="13" t="inlineStr">
        <is>
          <t>F-PF-03</t>
        </is>
      </c>
      <c r="G298" s="13" t="inlineStr"/>
      <c r="H298" s="13" t="inlineStr"/>
      <c r="I298" s="13" t="inlineStr"/>
    </row>
    <row r="299">
      <c r="A299" s="16" t="inlineStr">
        <is>
          <t>## 19c. Finance KaataGo (Super Admin)</t>
        </is>
      </c>
      <c r="B299" s="17" t="inlineStr">
        <is>
          <t>TC-PF-20</t>
        </is>
      </c>
      <c r="C299" s="18" t="inlineStr">
        <is>
          <t>P1</t>
        </is>
      </c>
      <c r="D299" s="16" t="inlineStr">
        <is>
          <t>Bandingkan total debit/kredit Jurnal Semua Resto dengan Jurnal GL resto itu (saring ke resto yang sama)</t>
        </is>
      </c>
      <c r="E299" s="16" t="inlineStr">
        <is>
          <t>Angkanya sama persis</t>
        </is>
      </c>
      <c r="F299" s="16" t="inlineStr">
        <is>
          <t>F-PF-14</t>
        </is>
      </c>
      <c r="G299" s="16" t="inlineStr"/>
      <c r="H299" s="16" t="inlineStr"/>
      <c r="I299" s="16" t="inlineStr"/>
    </row>
    <row r="300">
      <c r="A300" s="13" t="inlineStr">
        <is>
          <t>## 19c. Finance KaataGo (Super Admin)</t>
        </is>
      </c>
      <c r="B300" s="14" t="inlineStr">
        <is>
          <t>TC-PF-21</t>
        </is>
      </c>
      <c r="C300" s="15" t="inlineStr">
        <is>
          <t>P1</t>
        </is>
      </c>
      <c r="D300" s="13" t="inlineStr">
        <is>
          <t>Batalkan sebuah pengeluaran, lihat kedua layar jurnal</t>
        </is>
      </c>
      <c r="E300" s="13" t="inlineStr">
        <is>
          <t>Total tidak naik; keterangan "N pembatalan tidak dihitung" muncul</t>
        </is>
      </c>
      <c r="F300" s="13" t="inlineStr">
        <is>
          <t>F-PF-14</t>
        </is>
      </c>
      <c r="G300" s="13" t="inlineStr"/>
      <c r="H300" s="13" t="inlineStr"/>
      <c r="I300" s="13" t="inlineStr"/>
    </row>
    <row r="301">
      <c r="A301" s="16" t="inlineStr">
        <is>
          <t>## 19c. Finance KaataGo (Super Admin)</t>
        </is>
      </c>
      <c r="B301" s="17" t="inlineStr">
        <is>
          <t>TC-PF-22</t>
        </is>
      </c>
      <c r="C301" s="20" t="inlineStr">
        <is>
          <t>P2</t>
        </is>
      </c>
      <c r="D301" s="16" t="inlineStr">
        <is>
          <t>Cari baris pembatalan di daftar</t>
        </is>
      </c>
      <c r="E301" s="16" t="inlineStr">
        <is>
          <t>Tetap tampil, bertanda PEMBATALAN</t>
        </is>
      </c>
      <c r="F301" s="16" t="inlineStr">
        <is>
          <t>F-PF-15</t>
        </is>
      </c>
      <c r="G301" s="16" t="inlineStr"/>
      <c r="H301" s="16" t="inlineStr"/>
      <c r="I301" s="16" t="inlineStr"/>
    </row>
    <row r="302">
      <c r="A302" s="13" t="inlineStr">
        <is>
          <t>## 19c. Finance KaataGo (Super Admin)</t>
        </is>
      </c>
      <c r="B302" s="14" t="inlineStr">
        <is>
          <t>TC-PF-23</t>
        </is>
      </c>
      <c r="C302" s="15" t="inlineStr">
        <is>
          <t>P1</t>
        </is>
      </c>
      <c r="D302" s="13" t="inlineStr">
        <is>
          <t>Saring ke sebuah resto, lalu pilih Semua resto lagi</t>
        </is>
      </c>
      <c r="E302" s="13" t="inlineStr">
        <is>
          <t>Kembali menampilkan seluruh resto — bukan tetap tersaring</t>
        </is>
      </c>
      <c r="F302" s="13" t="inlineStr">
        <is>
          <t>F-PF-16</t>
        </is>
      </c>
      <c r="G302" s="13" t="inlineStr"/>
      <c r="H302" s="13" t="inlineStr"/>
      <c r="I302" s="13" t="inlineStr"/>
    </row>
    <row r="303">
      <c r="A303" s="16" t="inlineStr">
        <is>
          <t>## 19c. Finance KaataGo (Super Admin)</t>
        </is>
      </c>
      <c r="B303" s="17" t="inlineStr">
        <is>
          <t>TC-PF-24</t>
        </is>
      </c>
      <c r="C303" s="18" t="inlineStr">
        <is>
          <t>P1</t>
        </is>
      </c>
      <c r="D303" s="16" t="inlineStr">
        <is>
          <t>Saring ke resto A, lalu saring lagi ke resto B yang punya jurnal</t>
        </is>
      </c>
      <c r="E303" s="16" t="inlineStr">
        <is>
          <t>Isinya berganti ke jurnal resto B</t>
        </is>
      </c>
      <c r="F303" s="16" t="inlineStr">
        <is>
          <t>F-PF-16</t>
        </is>
      </c>
      <c r="G303" s="16" t="inlineStr"/>
      <c r="H303" s="16" t="inlineStr"/>
      <c r="I303" s="16" t="inlineStr"/>
    </row>
    <row r="304">
      <c r="A304" s="13" t="inlineStr">
        <is>
          <t>## 19c. Finance KaataGo (Super Admin)</t>
        </is>
      </c>
      <c r="B304" s="14" t="inlineStr">
        <is>
          <t>TC-PF-25</t>
        </is>
      </c>
      <c r="C304" s="19" t="inlineStr">
        <is>
          <t>P2</t>
        </is>
      </c>
      <c r="D304" s="13" t="inlineStr">
        <is>
          <t>Perhatikan pita di atas layar sesudah menyaring</t>
        </is>
      </c>
      <c r="E304" s="13" t="inlineStr">
        <is>
          <t>Nama restonya tertulis, dengan tombol × untuk melepasnya</t>
        </is>
      </c>
      <c r="F304" s="13" t="inlineStr">
        <is>
          <t>F-PF-16</t>
        </is>
      </c>
      <c r="G304" s="13" t="inlineStr"/>
      <c r="H304" s="13" t="inlineStr"/>
      <c r="I304" s="13" t="inlineStr"/>
    </row>
    <row r="305">
      <c r="A305" s="16" t="inlineStr">
        <is>
          <t>## 19c. Finance KaataGo (Super Admin)</t>
        </is>
      </c>
      <c r="B305" s="17" t="inlineStr">
        <is>
          <t>TC-PF-26</t>
        </is>
      </c>
      <c r="C305" s="20" t="inlineStr">
        <is>
          <t>P2</t>
        </is>
      </c>
      <c r="D305" s="16" t="inlineStr">
        <is>
          <t>Buka daftar saringan</t>
        </is>
      </c>
      <c r="E305" s="16" t="inlineStr">
        <is>
          <t>Resto yang belum punya jurnal ditandai "Belum ada jurnal"</t>
        </is>
      </c>
      <c r="F305" s="16" t="inlineStr">
        <is>
          <t>F-PF-17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TC-PF-27</t>
        </is>
      </c>
      <c r="C306" s="19" t="inlineStr">
        <is>
          <t>P2</t>
        </is>
      </c>
      <c r="D306" s="13" t="inlineStr">
        <is>
          <t>Perhatikan pengelompokan</t>
        </is>
      </c>
      <c r="E306" s="13" t="inlineStr">
        <is>
          <t>Per tanggal, bisa dilipat; tanggal terbaru terbuka, sisanya tertutup</t>
        </is>
      </c>
      <c r="F306" s="13" t="inlineStr">
        <is>
          <t>F-PF-18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TC-PF-28</t>
        </is>
      </c>
      <c r="C307" s="18" t="inlineStr">
        <is>
          <t>P1</t>
        </is>
      </c>
      <c r="D307" s="16" t="inlineStr">
        <is>
          <t>Buka Mapping GL Account resto mana pun</t>
        </is>
      </c>
      <c r="E307" s="16" t="inlineStr">
        <is>
          <t>GL Diskon punya bagiannya dan nomornya sudah terisi</t>
        </is>
      </c>
      <c r="F307" s="16" t="inlineStr">
        <is>
          <t>F-PF-19, F-DS-09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TC-PF-29</t>
        </is>
      </c>
      <c r="C308" s="19" t="inlineStr">
        <is>
          <t>P2</t>
        </is>
      </c>
      <c r="D308" s="13" t="inlineStr">
        <is>
          <t>Buka Mapping GL Account KaataGo</t>
        </is>
      </c>
      <c r="E308" s="13" t="inlineStr">
        <is>
          <t>Ada bagian GL Langganan; penghitung akun tidak pernah menyisakan yang mustahil terisi</t>
        </is>
      </c>
      <c r="F308" s="13" t="inlineStr">
        <is>
          <t>F-PF-19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TC-PF-30</t>
        </is>
      </c>
      <c r="C309" s="18" t="inlineStr">
        <is>
          <t>P1</t>
        </is>
      </c>
      <c r="D309" s="16" t="inlineStr">
        <is>
          <t>Pesan menu berpromo, bayar, buka Jurnal GL</t>
        </is>
      </c>
      <c r="E309" s="16" t="inlineStr">
        <is>
          <t>Baris GL Diskon menyebut nama promonya</t>
        </is>
      </c>
      <c r="F309" s="16" t="inlineStr">
        <is>
          <t>F-PF-20, F-DS-13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TC-PF-31</t>
        </is>
      </c>
      <c r="C310" s="15" t="inlineStr">
        <is>
          <t>P1</t>
        </is>
      </c>
      <c r="D310" s="13" t="inlineStr">
        <is>
          <t>Buka Jurnal GL Semua Resto sesudah ada tagihan langganan lunas</t>
        </is>
      </c>
      <c r="E310" s="13" t="inlineStr">
        <is>
          <t>Baris pendapatan langganan tidak muncul di sana</t>
        </is>
      </c>
      <c r="F310" s="13" t="inlineStr">
        <is>
          <t>F-PF-21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TC-PF-32</t>
        </is>
      </c>
      <c r="C311" s="18" t="inlineStr">
        <is>
          <t>P1</t>
        </is>
      </c>
      <c r="D311" s="16" t="inlineStr">
        <is>
          <t>Buka daftar saringan resto</t>
        </is>
      </c>
      <c r="E311" s="16" t="inlineStr">
        <is>
          <t>KaataGo tidak ada di daftarnya</t>
        </is>
      </c>
      <c r="F311" s="16" t="inlineStr">
        <is>
          <t>F-PF-21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TC-PF-33</t>
        </is>
      </c>
      <c r="C312" s="15" t="inlineStr">
        <is>
          <t>P1</t>
        </is>
      </c>
      <c r="D312" s="13" t="inlineStr">
        <is>
          <t>Buka Jurnal GL KaataGo</t>
        </is>
      </c>
      <c r="E312" s="13" t="inlineStr">
        <is>
          <t>Pendapatan langganan ada di sana, dan Saldo Total tidak nol</t>
        </is>
      </c>
      <c r="F312" s="13" t="inlineStr">
        <is>
          <t>F-PF-07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TC-PF-34</t>
        </is>
      </c>
      <c r="C313" s="20" t="inlineStr">
        <is>
          <t>P2</t>
        </is>
      </c>
      <c r="D313" s="16" t="inlineStr">
        <is>
          <t>Periksa nomor akun di Jurnal GL KaataGo</t>
        </is>
      </c>
      <c r="E313" s="16" t="inlineStr">
        <is>
          <t>Golongan 11xxxxx, berbeda dari 19xxxxx milik resto</t>
        </is>
      </c>
      <c r="F313" s="16" t="inlineStr">
        <is>
          <t>F-PF-08</t>
        </is>
      </c>
      <c r="G313" s="16" t="inlineStr"/>
      <c r="H313" s="16" t="inlineStr"/>
      <c r="I313" s="16" t="inlineStr"/>
    </row>
    <row r="314">
      <c r="A314" s="13" t="inlineStr">
        <is>
          <t>## 19d. Voucher Pelanggan</t>
        </is>
      </c>
      <c r="B314" s="14" t="inlineStr">
        <is>
          <t>TC-VC-01</t>
        </is>
      </c>
      <c r="C314" s="19" t="inlineStr">
        <is>
          <t>P2</t>
        </is>
      </c>
      <c r="D314" s="13" t="inlineStr">
        <is>
          <t>Super Admin → Finance → Voucher Pelanggan → buat voucher 10%</t>
        </is>
      </c>
      <c r="E314" s="13" t="inlineStr">
        <is>
          <t>Tersimpan berikut kodenya</t>
        </is>
      </c>
      <c r="F314" s="13" t="inlineStr">
        <is>
          <t>F-VC-01</t>
        </is>
      </c>
      <c r="G314" s="13" t="inlineStr"/>
      <c r="H314" s="13" t="inlineStr"/>
      <c r="I314" s="13" t="inlineStr"/>
    </row>
    <row r="315">
      <c r="A315" s="16" t="inlineStr">
        <is>
          <t>## 19d. Voucher Pelanggan</t>
        </is>
      </c>
      <c r="B315" s="17" t="inlineStr">
        <is>
          <t>TC-VC-02</t>
        </is>
      </c>
      <c r="C315" s="20" t="inlineStr">
        <is>
          <t>P2</t>
        </is>
      </c>
      <c r="D315" s="16" t="inlineStr">
        <is>
          <t>Buat voucher berkode sama dengan yang sudah ada</t>
        </is>
      </c>
      <c r="E315" s="16" t="inlineStr">
        <is>
          <t>Ditolak — kodenya sudah dipakai</t>
        </is>
      </c>
      <c r="F315" s="16" t="inlineStr">
        <is>
          <t>F-VC-01</t>
        </is>
      </c>
      <c r="G315" s="16" t="inlineStr"/>
      <c r="H315" s="16" t="inlineStr"/>
      <c r="I315" s="16" t="inlineStr"/>
    </row>
    <row r="316">
      <c r="A316" s="13" t="inlineStr">
        <is>
          <t>## 19d. Voucher Pelanggan</t>
        </is>
      </c>
      <c r="B316" s="14" t="inlineStr">
        <is>
          <t>TC-VC-03</t>
        </is>
      </c>
      <c r="C316" s="15" t="inlineStr">
        <is>
          <t>P1</t>
        </is>
      </c>
      <c r="D316" s="13" t="inlineStr">
        <is>
          <t>Voucher 20% tanpa batas, tagihan Rp 1.000.000</t>
        </is>
      </c>
      <c r="E316" s="13" t="inlineStr">
        <is>
          <t>Potongan Rp 200.000</t>
        </is>
      </c>
      <c r="F316" s="13" t="inlineStr">
        <is>
          <t>F-VC-01</t>
        </is>
      </c>
      <c r="G316" s="13" t="inlineStr"/>
      <c r="H316" s="13" t="inlineStr"/>
      <c r="I316" s="13" t="inlineStr"/>
    </row>
    <row r="317">
      <c r="A317" s="16" t="inlineStr">
        <is>
          <t>## 19d. Voucher Pelanggan</t>
        </is>
      </c>
      <c r="B317" s="17" t="inlineStr">
        <is>
          <t>TC-VC-04</t>
        </is>
      </c>
      <c r="C317" s="18" t="inlineStr">
        <is>
          <t>P1</t>
        </is>
      </c>
      <c r="D317" s="16" t="inlineStr">
        <is>
          <t>Voucher yang sama dengan maks. Rp 20.000</t>
        </is>
      </c>
      <c r="E317" s="16" t="inlineStr">
        <is>
          <t>Potongan berhenti di Rp 20.000</t>
        </is>
      </c>
      <c r="F317" s="16" t="inlineStr">
        <is>
          <t>F-VC-02</t>
        </is>
      </c>
      <c r="G317" s="16" t="inlineStr"/>
      <c r="H317" s="16" t="inlineStr"/>
      <c r="I317" s="16" t="inlineStr"/>
    </row>
    <row r="318">
      <c r="A318" s="13" t="inlineStr">
        <is>
          <t>## 19d. Voucher Pelanggan</t>
        </is>
      </c>
      <c r="B318" s="14" t="inlineStr">
        <is>
          <t>TC-VC-05</t>
        </is>
      </c>
      <c r="C318" s="15" t="inlineStr">
        <is>
          <t>P1</t>
        </is>
      </c>
      <c r="D318" s="13" t="inlineStr">
        <is>
          <t>Voucher min belanja Rp 50.000, tagihan Rp 30.000</t>
        </is>
      </c>
      <c r="E318" s="13" t="inlineStr">
        <is>
          <t>Ditolak dengan sebutan minimalnya</t>
        </is>
      </c>
      <c r="F318" s="13" t="inlineStr">
        <is>
          <t>F-VC-03, F-VC-10</t>
        </is>
      </c>
      <c r="G318" s="13" t="inlineStr"/>
      <c r="H318" s="13" t="inlineStr"/>
      <c r="I318" s="13" t="inlineStr"/>
    </row>
    <row r="319">
      <c r="A319" s="16" t="inlineStr">
        <is>
          <t>## 19d. Voucher Pelanggan</t>
        </is>
      </c>
      <c r="B319" s="17" t="inlineStr">
        <is>
          <t>TC-VC-06</t>
        </is>
      </c>
      <c r="C319" s="18" t="inlineStr">
        <is>
          <t>P1</t>
        </is>
      </c>
      <c r="D319" s="16" t="inlineStr">
        <is>
          <t>Voucher khusus resto A, dipakai di resto B</t>
        </is>
      </c>
      <c r="E319" s="16" t="inlineStr">
        <is>
          <t>Ditolak — "tidak berlaku di resto ini"</t>
        </is>
      </c>
      <c r="F319" s="16" t="inlineStr">
        <is>
          <t>F-VC-04, F-VC-10</t>
        </is>
      </c>
      <c r="G319" s="16" t="inlineStr"/>
      <c r="H319" s="16" t="inlineStr"/>
      <c r="I319" s="16" t="inlineStr"/>
    </row>
    <row r="320">
      <c r="A320" s="13" t="inlineStr">
        <is>
          <t>## 19d. Voucher Pelanggan</t>
        </is>
      </c>
      <c r="B320" s="14" t="inlineStr">
        <is>
          <t>TC-VC-07</t>
        </is>
      </c>
      <c r="C320" s="15" t="inlineStr">
        <is>
          <t>P1</t>
        </is>
      </c>
      <c r="D320" s="13" t="inlineStr">
        <is>
          <t>Voucher kuota 1, pakai dua kali oleh orang berbeda</t>
        </is>
      </c>
      <c r="E320" s="13" t="inlineStr">
        <is>
          <t>Yang kedua ditolak — kuota habis</t>
        </is>
      </c>
      <c r="F320" s="13" t="inlineStr">
        <is>
          <t>F-VC-05</t>
        </is>
      </c>
      <c r="G320" s="13" t="inlineStr"/>
      <c r="H320" s="13" t="inlineStr"/>
      <c r="I320" s="13" t="inlineStr"/>
    </row>
    <row r="321">
      <c r="A321" s="16" t="inlineStr">
        <is>
          <t>## 19d. Voucher Pelanggan</t>
        </is>
      </c>
      <c r="B321" s="17" t="inlineStr">
        <is>
          <t>TC-VC-08</t>
        </is>
      </c>
      <c r="C321" s="18" t="inlineStr">
        <is>
          <t>P1</t>
        </is>
      </c>
      <c r="D321" s="16" t="inlineStr">
        <is>
          <t>Voucher kuota per pelanggan 1, pakai dua kali oleh orang sama</t>
        </is>
      </c>
      <c r="E321" s="16" t="inlineStr">
        <is>
          <t>Yang kedua ditolak — "sudah kamu pakai"</t>
        </is>
      </c>
      <c r="F321" s="16" t="inlineStr">
        <is>
          <t>F-VC-05</t>
        </is>
      </c>
      <c r="G321" s="16" t="inlineStr"/>
      <c r="H321" s="16" t="inlineStr"/>
      <c r="I321" s="16" t="inlineStr"/>
    </row>
    <row r="322">
      <c r="A322" s="13" t="inlineStr">
        <is>
          <t>## 19d. Voucher Pelanggan</t>
        </is>
      </c>
      <c r="B322" s="14" t="inlineStr">
        <is>
          <t>TC-VC-09</t>
        </is>
      </c>
      <c r="C322" s="19" t="inlineStr">
        <is>
          <t>P2</t>
        </is>
      </c>
      <c r="D322" s="13" t="inlineStr">
        <is>
          <t>Ketik kode dengan huruf kecil</t>
        </is>
      </c>
      <c r="E322" s="13" t="inlineStr">
        <is>
          <t>Tetap diterima</t>
        </is>
      </c>
      <c r="F322" s="13" t="inlineStr">
        <is>
          <t>F-VC-07</t>
        </is>
      </c>
      <c r="G322" s="13" t="inlineStr"/>
      <c r="H322" s="13" t="inlineStr"/>
      <c r="I322" s="13" t="inlineStr"/>
    </row>
    <row r="323">
      <c r="A323" s="16" t="inlineStr">
        <is>
          <t>## 19d. Voucher Pelanggan</t>
        </is>
      </c>
      <c r="B323" s="17" t="inlineStr">
        <is>
          <t>TC-VC-10</t>
        </is>
      </c>
      <c r="C323" s="20" t="inlineStr">
        <is>
          <t>P2</t>
        </is>
      </c>
      <c r="D323" s="16" t="inlineStr">
        <is>
          <t>Ketik kode yang tidak ada</t>
        </is>
      </c>
      <c r="E323" s="16" t="inlineStr">
        <is>
          <t>Ditolak dengan sebutan tidak ditemukan</t>
        </is>
      </c>
      <c r="F323" s="16" t="inlineStr">
        <is>
          <t>F-VC-10</t>
        </is>
      </c>
      <c r="G323" s="16" t="inlineStr"/>
      <c r="H323" s="16" t="inlineStr"/>
      <c r="I323" s="16" t="inlineStr"/>
    </row>
    <row r="324">
      <c r="A324" s="13" t="inlineStr">
        <is>
          <t>## 19d. Voucher Pelanggan</t>
        </is>
      </c>
      <c r="B324" s="14" t="inlineStr">
        <is>
          <t>TC-VC-11</t>
        </is>
      </c>
      <c r="C324" s="19" t="inlineStr">
        <is>
          <t>P2</t>
        </is>
      </c>
      <c r="D324" s="13" t="inlineStr">
        <is>
          <t>Voucher nonaktif / lewat masa berlaku</t>
        </is>
      </c>
      <c r="E324" s="13" t="inlineStr">
        <is>
          <t>Ditolak, masing-masing dengan alasannya</t>
        </is>
      </c>
      <c r="F324" s="13" t="inlineStr">
        <is>
          <t>F-VC-06, F-VC-10</t>
        </is>
      </c>
      <c r="G324" s="13" t="inlineStr"/>
      <c r="H324" s="13" t="inlineStr"/>
      <c r="I324" s="13" t="inlineStr"/>
    </row>
    <row r="325">
      <c r="A325" s="16" t="inlineStr">
        <is>
          <t>## 19d. Voucher Pelanggan</t>
        </is>
      </c>
      <c r="B325" s="17" t="inlineStr">
        <is>
          <t>TC-VC-12</t>
        </is>
      </c>
      <c r="C325" s="18" t="inlineStr">
        <is>
          <t>P1</t>
        </is>
      </c>
      <c r="D325" s="16" t="inlineStr">
        <is>
          <t>Pasang voucher lalu selesaikan pesanan</t>
        </is>
      </c>
      <c r="E325" s="16" t="inlineStr">
        <is>
          <t>Yang dibayar sudah dipotong; nominal QRIS-nya juga</t>
        </is>
      </c>
      <c r="F325" s="16" t="inlineStr">
        <is>
          <t>F-VC-08</t>
        </is>
      </c>
      <c r="G325" s="16" t="inlineStr"/>
      <c r="H325" s="16" t="inlineStr"/>
      <c r="I325" s="16" t="inlineStr"/>
    </row>
    <row r="326">
      <c r="A326" s="13" t="inlineStr">
        <is>
          <t>## 19d. Voucher Pelanggan</t>
        </is>
      </c>
      <c r="B326" s="14" t="inlineStr">
        <is>
          <t>TC-VC-13</t>
        </is>
      </c>
      <c r="C326" s="15" t="inlineStr">
        <is>
          <t>P1</t>
        </is>
      </c>
      <c r="D326" s="13" t="inlineStr">
        <is>
          <t>Ketuk Lepas setelah voucher terpasang</t>
        </is>
      </c>
      <c r="E326" s="13" t="inlineStr">
        <is>
          <t>Tagihan kembali ke nominal semula</t>
        </is>
      </c>
      <c r="F326" s="13" t="inlineStr">
        <is>
          <t>F-VC-08</t>
        </is>
      </c>
      <c r="G326" s="13" t="inlineStr"/>
      <c r="H326" s="13" t="inlineStr"/>
      <c r="I326" s="13" t="inlineStr"/>
    </row>
    <row r="327">
      <c r="A327" s="16" t="inlineStr">
        <is>
          <t>## 19d. Voucher Pelanggan</t>
        </is>
      </c>
      <c r="B327" s="17" t="inlineStr">
        <is>
          <t>TC-VC-14</t>
        </is>
      </c>
      <c r="C327" s="18" t="inlineStr">
        <is>
          <t>P1</t>
        </is>
      </c>
      <c r="D327" s="16" t="inlineStr">
        <is>
          <t>Periksa Jurnal GL KaataGo sesudah voucher dipakai</t>
        </is>
      </c>
      <c r="E327" s="16" t="inlineStr">
        <is>
          <t>Dua baris: GL Biaya Voucher debit, kantongnya kredit</t>
        </is>
      </c>
      <c r="F327" s="16" t="inlineStr">
        <is>
          <t>F-VC-12</t>
        </is>
      </c>
      <c r="G327" s="16" t="inlineStr"/>
      <c r="H327" s="16" t="inlineStr"/>
      <c r="I327" s="16" t="inlineStr"/>
    </row>
    <row r="328">
      <c r="A328" s="13" t="inlineStr">
        <is>
          <t>## 19d. Voucher Pelanggan</t>
        </is>
      </c>
      <c r="B328" s="14" t="inlineStr">
        <is>
          <t>TC-VC-15</t>
        </is>
      </c>
      <c r="C328" s="15" t="inlineStr">
        <is>
          <t>P1</t>
        </is>
      </c>
      <c r="D328" s="13" t="inlineStr">
        <is>
          <t>Periksa Jurnal GL resto yang bersangkutan</t>
        </is>
      </c>
      <c r="E328" s="13" t="inlineStr">
        <is>
          <t>Tidak ada baris voucher di sana</t>
        </is>
      </c>
      <c r="F328" s="13" t="inlineStr">
        <is>
          <t>F-VC-12</t>
        </is>
      </c>
      <c r="G328" s="13" t="inlineStr"/>
      <c r="H328" s="13" t="inlineStr"/>
      <c r="I328" s="13" t="inlineStr"/>
    </row>
    <row r="329">
      <c r="A329" s="16" t="inlineStr">
        <is>
          <t>## 19d. Voucher Pelanggan</t>
        </is>
      </c>
      <c r="B329" s="17" t="inlineStr">
        <is>
          <t>TC-VC-16</t>
        </is>
      </c>
      <c r="C329" s="18" t="inlineStr">
        <is>
          <t>P1</t>
        </is>
      </c>
      <c r="D329" s="16" t="inlineStr">
        <is>
          <t>Panggil voucher_quote lewat API dengan nominal dipalsukan</t>
        </is>
      </c>
      <c r="E329" s="16" t="inlineStr">
        <is>
          <t>Nominal yang dipakai tetap dari perhitungan server</t>
        </is>
      </c>
      <c r="F329" s="16" t="inlineStr">
        <is>
          <t>F-VC-09</t>
        </is>
      </c>
      <c r="G329" s="16" t="inlineStr"/>
      <c r="H329" s="16" t="inlineStr"/>
      <c r="I329" s="16" t="inlineStr"/>
    </row>
    <row r="330">
      <c r="A330" s="13" t="inlineStr">
        <is>
          <t>## 19d. Voucher Pelanggan</t>
        </is>
      </c>
      <c r="B330" s="14" t="inlineStr">
        <is>
          <t>TC-VC-17</t>
        </is>
      </c>
      <c r="C330" s="19" t="inlineStr">
        <is>
          <t>P2</t>
        </is>
      </c>
      <c r="D330" s="13" t="inlineStr">
        <is>
          <t>Buka daftar voucher sebagai Owner resto</t>
        </is>
      </c>
      <c r="E330" s="13" t="inlineStr">
        <is>
          <t>Terbaca, tapi tidak bisa diubah</t>
        </is>
      </c>
      <c r="F330" s="13" t="inlineStr">
        <is>
          <t>F-VC-01</t>
        </is>
      </c>
      <c r="G330" s="13" t="inlineStr"/>
      <c r="H330" s="13" t="inlineStr"/>
      <c r="I330" s="13" t="inlineStr"/>
    </row>
    <row r="331">
      <c r="A331" s="16" t="inlineStr">
        <is>
          <t>## 19d. Voucher Pelanggan</t>
        </is>
      </c>
      <c r="B331" s="17" t="inlineStr">
        <is>
          <t>TC-VC-18</t>
        </is>
      </c>
      <c r="C331" s="20" t="inlineStr">
        <is>
          <t>P2</t>
        </is>
      </c>
      <c r="D331" s="16" t="inlineStr">
        <is>
          <t>Periksa jumlah "dipakai" di kartu voucher</t>
        </is>
      </c>
      <c r="E331" s="16" t="inlineStr">
        <is>
          <t>Cocok dengan jumlah pemakaian sebenarnya</t>
        </is>
      </c>
      <c r="F331" s="16" t="inlineStr">
        <is>
          <t>F-VC-11</t>
        </is>
      </c>
      <c r="G331" s="16" t="inlineStr"/>
      <c r="H331" s="16" t="inlineStr"/>
      <c r="I331" s="16" t="inlineStr"/>
    </row>
    <row r="332">
      <c r="A332" s="13" t="inlineStr">
        <is>
          <t>Uji Teknis (lingkup TSD)</t>
        </is>
      </c>
      <c r="B332" s="14" t="inlineStr">
        <is>
          <t>TC-TS-01</t>
        </is>
      </c>
      <c r="C332" s="15" t="inlineStr">
        <is>
          <t>P1</t>
        </is>
      </c>
      <c r="D332" s="13" t="inlineStr">
        <is>
          <t>Panggil GET /rest/v1/orders memakai kunci anon tanpa login</t>
        </is>
      </c>
      <c r="E332" s="13" t="inlineStr">
        <is>
          <t>Tidak mengembalikan pesanan resto mana pun</t>
        </is>
      </c>
      <c r="F332" s="13" t="inlineStr">
        <is>
          <t>TSD §5</t>
        </is>
      </c>
      <c r="G332" s="13" t="inlineStr"/>
      <c r="H332" s="13" t="inlineStr"/>
      <c r="I332" s="13" t="inlineStr"/>
    </row>
    <row r="333">
      <c r="A333" s="16" t="inlineStr">
        <is>
          <t>Uji Teknis (lingkup TSD)</t>
        </is>
      </c>
      <c r="B333" s="17" t="inlineStr">
        <is>
          <t>TC-TS-02</t>
        </is>
      </c>
      <c r="C333" s="18" t="inlineStr">
        <is>
          <t>P1</t>
        </is>
      </c>
      <c r="D333" s="16" t="inlineStr">
        <is>
          <t>Login sebagai karyawan resto A, baca orders resto B lewat API</t>
        </is>
      </c>
      <c r="E333" s="16" t="inlineStr">
        <is>
          <t>Kosong — bukan galat, tapi juga bukan data</t>
        </is>
      </c>
      <c r="F333" s="16" t="inlineStr">
        <is>
          <t>TSD §5</t>
        </is>
      </c>
      <c r="G333" s="16" t="inlineStr"/>
      <c r="H333" s="16" t="inlineStr"/>
      <c r="I333" s="16" t="inlineStr"/>
    </row>
    <row r="334">
      <c r="A334" s="13" t="inlineStr">
        <is>
          <t>Uji Teknis (lingkup TSD)</t>
        </is>
      </c>
      <c r="B334" s="14" t="inlineStr">
        <is>
          <t>TC-TS-03</t>
        </is>
      </c>
      <c r="C334" s="15" t="inlineStr">
        <is>
          <t>P1</t>
        </is>
      </c>
      <c r="D334" s="13" t="inlineStr">
        <is>
          <t>Login sebagai Owner, buka tiap layar resto miliknya</t>
        </is>
      </c>
      <c r="E334" s="13" t="inlineStr">
        <is>
          <t>Tidak ada layar yang kosong karena RLS — owner harus disebut di setiap daftar peran</t>
        </is>
      </c>
      <c r="F334" s="13" t="inlineStr">
        <is>
          <t>TSD §5</t>
        </is>
      </c>
      <c r="G334" s="13" t="inlineStr"/>
      <c r="H334" s="13" t="inlineStr"/>
      <c r="I334" s="13" t="inlineStr"/>
    </row>
    <row r="335">
      <c r="A335" s="16" t="inlineStr">
        <is>
          <t>Uji Teknis (lingkup TSD)</t>
        </is>
      </c>
      <c r="B335" s="17" t="inlineStr">
        <is>
          <t>TC-TS-04</t>
        </is>
      </c>
      <c r="C335" s="18" t="inlineStr">
        <is>
          <t>P1</t>
        </is>
      </c>
      <c r="D335" s="16" t="inlineStr">
        <is>
          <t>Login sebagai Kasir, baca gl_journal_entries</t>
        </is>
      </c>
      <c r="E335" s="16" t="inlineStr">
        <is>
          <t>Hanya yang terkait catatan yang memang boleh dia lihat</t>
        </is>
      </c>
      <c r="F335" s="16" t="inlineStr">
        <is>
          <t>F-KS-13, TSD §5.1</t>
        </is>
      </c>
      <c r="G335" s="16" t="inlineStr"/>
      <c r="H335" s="16" t="inlineStr"/>
      <c r="I335" s="16" t="inlineStr"/>
    </row>
    <row r="336">
      <c r="A336" s="13" t="inlineStr">
        <is>
          <t>Uji Teknis (lingkup TSD)</t>
        </is>
      </c>
      <c r="B336" s="14" t="inlineStr">
        <is>
          <t>TC-TS-05</t>
        </is>
      </c>
      <c r="C336" s="15" t="inlineStr">
        <is>
          <t>P1</t>
        </is>
      </c>
      <c r="D336" s="13" t="inlineStr">
        <is>
          <t>Coba UPDATE products langsung lewat API sebagai pelanggan</t>
        </is>
      </c>
      <c r="E336" s="13" t="inlineStr">
        <is>
          <t>Ditolak; pengurangan stok hanya lewat decrement_stock</t>
        </is>
      </c>
      <c r="F336" s="13" t="inlineStr">
        <is>
          <t>TSD §5.2</t>
        </is>
      </c>
      <c r="G336" s="13" t="inlineStr"/>
      <c r="H336" s="13" t="inlineStr"/>
      <c r="I336" s="13" t="inlineStr"/>
    </row>
    <row r="337">
      <c r="A337" s="16" t="inlineStr">
        <is>
          <t>Uji Teknis (lingkup TSD)</t>
        </is>
      </c>
      <c r="B337" s="17" t="inlineStr">
        <is>
          <t>TC-TS-06</t>
        </is>
      </c>
      <c r="C337" s="18" t="inlineStr">
        <is>
          <t>P1</t>
        </is>
      </c>
      <c r="D337" s="16" t="inlineStr">
        <is>
          <t>Panggil cancel_my_order untuk pesanan milik orang lain</t>
        </is>
      </c>
      <c r="E337" s="16" t="inlineStr">
        <is>
          <t>Ditolak</t>
        </is>
      </c>
      <c r="F337" s="16" t="inlineStr">
        <is>
          <t>TSD §5.2</t>
        </is>
      </c>
      <c r="G337" s="16" t="inlineStr"/>
      <c r="H337" s="16" t="inlineStr"/>
      <c r="I337" s="16" t="inlineStr"/>
    </row>
    <row r="338">
      <c r="A338" s="13" t="inlineStr">
        <is>
          <t>Uji Teknis (lingkup TSD)</t>
        </is>
      </c>
      <c r="B338" s="14" t="inlineStr">
        <is>
          <t>TC-TS-07</t>
        </is>
      </c>
      <c r="C338" s="15" t="inlineStr">
        <is>
          <t>P1</t>
        </is>
      </c>
      <c r="D338" s="13" t="inlineStr">
        <is>
          <t>Jalankan ulang seluruh JALANKAN-INI.sql di database yang sudah terisi</t>
        </is>
      </c>
      <c r="E338" s="13" t="inlineStr">
        <is>
          <t>Selesai tanpa galat; tidak ada data yang berubah</t>
        </is>
      </c>
      <c r="F338" s="13" t="inlineStr">
        <is>
          <t>TSD §11</t>
        </is>
      </c>
      <c r="G338" s="13" t="inlineStr"/>
      <c r="H338" s="13" t="inlineStr"/>
      <c r="I338" s="13" t="inlineStr"/>
    </row>
    <row r="339">
      <c r="A339" s="16" t="inlineStr">
        <is>
          <t>Uji Teknis (lingkup TSD)</t>
        </is>
      </c>
      <c r="B339" s="17" t="inlineStr">
        <is>
          <t>TC-TS-08</t>
        </is>
      </c>
      <c r="C339" s="18" t="inlineStr">
        <is>
          <t>P1</t>
        </is>
      </c>
      <c r="D339" s="16" t="inlineStr">
        <is>
          <t>Jalankan ulang satu berkas SQL lama saja, misal cash_payment_expiry.sql</t>
        </is>
      </c>
      <c r="E339" s="16" t="inlineStr">
        <is>
          <t>Tidak menyempitkan daftar nilai batasan mana pun</t>
        </is>
      </c>
      <c r="F339" s="16" t="inlineStr">
        <is>
          <t>TSD §11.1</t>
        </is>
      </c>
      <c r="G339" s="16" t="inlineStr"/>
      <c r="H339" s="16" t="inlineStr"/>
      <c r="I339" s="16" t="inlineStr"/>
    </row>
    <row r="340">
      <c r="A340" s="13" t="inlineStr">
        <is>
          <t>Uji Teknis (lingkup TSD)</t>
        </is>
      </c>
      <c r="B340" s="14" t="inlineStr">
        <is>
          <t>TC-TS-09</t>
        </is>
      </c>
      <c r="C340" s="15" t="inlineStr">
        <is>
          <t>P1</t>
        </is>
      </c>
      <c r="D340" s="13" t="inlineStr">
        <is>
          <t>Buat resto baru dari Super Admin</t>
        </is>
      </c>
      <c r="E340" s="13" t="inlineStr">
        <is>
          <t>Bagan akun GL 12 jenis dan tarif PPN/service langsung terisi</t>
        </is>
      </c>
      <c r="F340" s="13" t="inlineStr">
        <is>
          <t>A-19, TSD §6.2</t>
        </is>
      </c>
      <c r="G340" s="13" t="inlineStr"/>
      <c r="H340" s="13" t="inlineStr"/>
      <c r="I340" s="13" t="inlineStr"/>
    </row>
    <row r="341">
      <c r="A341" s="16" t="inlineStr">
        <is>
          <t>Uji Teknis (lingkup TSD)</t>
        </is>
      </c>
      <c r="B341" s="17" t="inlineStr">
        <is>
          <t>TC-TS-10</t>
        </is>
      </c>
      <c r="C341" s="18" t="inlineStr">
        <is>
          <t>P1</t>
        </is>
      </c>
      <c r="D341" s="16" t="inlineStr">
        <is>
          <t>Kosongkan satu nomor GL, lalu buat transaksi</t>
        </is>
      </c>
      <c r="E341" s="16" t="inlineStr">
        <is>
          <t>Jurnal untuk baris itu tidak terbentuk — pastikan gejalanya dikenali penguji</t>
        </is>
      </c>
      <c r="F341" s="16" t="inlineStr">
        <is>
          <t>TSD §6.2</t>
        </is>
      </c>
      <c r="G341" s="16" t="inlineStr"/>
      <c r="H341" s="16" t="inlineStr"/>
      <c r="I341" s="16" t="inlineStr"/>
    </row>
    <row r="342">
      <c r="A342" s="13" t="inlineStr">
        <is>
          <t>Uji Teknis (lingkup TSD)</t>
        </is>
      </c>
      <c r="B342" s="14" t="inlineStr">
        <is>
          <t>TC-TS-11</t>
        </is>
      </c>
      <c r="C342" s="19" t="inlineStr">
        <is>
          <t>P2</t>
        </is>
      </c>
      <c r="D342" s="13" t="inlineStr">
        <is>
          <t>Periksa push_outbox sesudah pengumuman terbit</t>
        </is>
      </c>
      <c r="E342" s="13" t="inlineStr">
        <is>
          <t>Baris masuk, lalu sent_at terisi</t>
        </is>
      </c>
      <c r="F342" s="13" t="inlineStr">
        <is>
          <t>TSD §8</t>
        </is>
      </c>
      <c r="G342" s="13" t="inlineStr"/>
      <c r="H342" s="13" t="inlineStr"/>
      <c r="I342" s="13" t="inlineStr"/>
    </row>
    <row r="343">
      <c r="A343" s="16" t="inlineStr">
        <is>
          <t>Uji Teknis (lingkup TSD)</t>
        </is>
      </c>
      <c r="B343" s="17" t="inlineStr">
        <is>
          <t>TC-TS-12</t>
        </is>
      </c>
      <c r="C343" s="20" t="inlineStr">
        <is>
          <t>P2</t>
        </is>
      </c>
      <c r="D343" s="16" t="inlineStr">
        <is>
          <t>Matikan sambungan, pakai aplikasi</t>
        </is>
      </c>
      <c r="E343" s="16" t="inlineStr">
        <is>
          <t>Katalog tetap tampil; pesanan tunai tetap bisa dibuat</t>
        </is>
      </c>
      <c r="F343" s="16" t="inlineStr">
        <is>
          <t>TSD §10, FSD §5.6</t>
        </is>
      </c>
      <c r="G343" s="16" t="inlineStr"/>
      <c r="H343" s="16" t="inlineStr"/>
      <c r="I343" s="16" t="inlineStr"/>
    </row>
    <row r="344">
      <c r="A344" s="13" t="inlineStr">
        <is>
          <t>Uji Teknis (lingkup TSD)</t>
        </is>
      </c>
      <c r="B344" s="14" t="inlineStr">
        <is>
          <t>TC-TS-13</t>
        </is>
      </c>
      <c r="C344" s="19" t="inlineStr">
        <is>
          <t>P2</t>
        </is>
      </c>
      <c r="D344" s="13" t="inlineStr">
        <is>
          <t>Sambungkan lagi</t>
        </is>
      </c>
      <c r="E344" s="13" t="inlineStr">
        <is>
          <t>Pesanan yang dibuat saat luring terkirim</t>
        </is>
      </c>
      <c r="F344" s="13" t="inlineStr">
        <is>
          <t>TSD §10</t>
        </is>
      </c>
      <c r="G344" s="13" t="inlineStr"/>
      <c r="H344" s="13" t="inlineStr"/>
      <c r="I344" s="13" t="inlineStr"/>
    </row>
    <row r="345">
      <c r="A345" s="16" t="inlineStr">
        <is>
          <t>Uji Teknis (lingkup TSD)</t>
        </is>
      </c>
      <c r="B345" s="17" t="inlineStr">
        <is>
          <t>TC-TS-14</t>
        </is>
      </c>
      <c r="C345" s="18" t="inlineStr">
        <is>
          <t>P1</t>
        </is>
      </c>
      <c r="D345" s="16" t="inlineStr">
        <is>
          <t>Coba bayar QRIS saat luring</t>
        </is>
      </c>
      <c r="E345" s="16" t="inlineStr">
        <is>
          <t>Ditolak dengan jelas — bukan menggantung tanpa kabar</t>
        </is>
      </c>
      <c r="F345" s="16" t="inlineStr">
        <is>
          <t>FSD §5.6</t>
        </is>
      </c>
      <c r="G345" s="16" t="inlineStr"/>
      <c r="H345" s="16" t="inlineStr"/>
      <c r="I345" s="16" t="inlineStr"/>
    </row>
    <row r="346">
      <c r="A346" s="13" t="inlineStr">
        <is>
          <t>Uji Teknis (lingkup TSD)</t>
        </is>
      </c>
      <c r="B346" s="14" t="inlineStr">
        <is>
          <t>TC-TS-15</t>
        </is>
      </c>
      <c r="C346" s="15" t="inlineStr">
        <is>
          <t>P1</t>
        </is>
      </c>
      <c r="D346" s="13" t="inlineStr">
        <is>
          <t>Panggil create-qris dengan nominal yang dipalsukan di badan permintaan</t>
        </is>
      </c>
      <c r="E346" s="13" t="inlineStr">
        <is>
          <t>Nominal yang dipakai tetap dari basis data</t>
        </is>
      </c>
      <c r="F346" s="13" t="inlineStr">
        <is>
          <t>TSD §7.1</t>
        </is>
      </c>
      <c r="G346" s="13" t="inlineStr"/>
      <c r="H346" s="13" t="inlineStr"/>
      <c r="I346" s="13" t="inlineStr"/>
    </row>
    <row r="347">
      <c r="A347" s="16" t="inlineStr">
        <is>
          <t>Uji Teknis (lingkup TSD)</t>
        </is>
      </c>
      <c r="B347" s="17" t="inlineStr">
        <is>
          <t>TC-TS-16</t>
        </is>
      </c>
      <c r="C347" s="18" t="inlineStr">
        <is>
          <t>P1</t>
        </is>
      </c>
      <c r="D347" s="16" t="inlineStr">
        <is>
          <t>Tandai pesanan lunas lewat API tanpa lewat webhook</t>
        </is>
      </c>
      <c r="E347" s="16" t="inlineStr">
        <is>
          <t>Ditolak</t>
        </is>
      </c>
      <c r="F347" s="16" t="inlineStr">
        <is>
          <t>F-PG-02, TSD §7.1</t>
        </is>
      </c>
      <c r="G347" s="16" t="inlineStr"/>
      <c r="H347" s="16" t="inlineStr"/>
      <c r="I347" s="16" t="inlineStr"/>
    </row>
    <row r="348">
      <c r="A348" s="13" t="inlineStr">
        <is>
          <t>Uji Teknis (lingkup TSD)</t>
        </is>
      </c>
      <c r="B348" s="14" t="inlineStr">
        <is>
          <t>TC-TS-17</t>
        </is>
      </c>
      <c r="C348" s="19" t="inlineStr">
        <is>
          <t>P2</t>
        </is>
      </c>
      <c r="D348" s="13" t="inlineStr">
        <is>
          <t>Bongkar APK, cari kunci Xendit/FCM/Resend</t>
        </is>
      </c>
      <c r="E348" s="13" t="inlineStr">
        <is>
          <t>Tidak ada satu pun kunci pengirim di dalamnya</t>
        </is>
      </c>
      <c r="F348" s="13" t="inlineStr">
        <is>
          <t>TSD §1.2</t>
        </is>
      </c>
      <c r="G348" s="13" t="inlineStr"/>
      <c r="H348" s="13" t="inlineStr"/>
      <c r="I348" s="13" t="inlineStr"/>
    </row>
    <row r="349">
      <c r="A349" s="16" t="inlineStr">
        <is>
          <t>Uji Teknis (lingkup TSD)</t>
        </is>
      </c>
      <c r="B349" s="17" t="inlineStr">
        <is>
          <t>TC-TS-18</t>
        </is>
      </c>
      <c r="C349" s="20" t="inlineStr">
        <is>
          <t>P2</t>
        </is>
      </c>
      <c r="D349" s="16" t="inlineStr">
        <is>
          <t>Pesanan berpindah status lunas lebih dari sekali</t>
        </is>
      </c>
      <c r="E349" s="16" t="inlineStr">
        <is>
          <t>Jurnalnya tetap satu set — tidak ada baris ganda</t>
        </is>
      </c>
      <c r="F349" s="16" t="inlineStr">
        <is>
          <t>TSD §6.5</t>
        </is>
      </c>
      <c r="G349" s="16" t="inlineStr"/>
      <c r="H349" s="16" t="inlineStr"/>
      <c r="I349" s="16" t="inlineStr"/>
    </row>
    <row r="350">
      <c r="A350" s="13" t="inlineStr">
        <is>
          <t>Uji Teknis (lingkup TSD)</t>
        </is>
      </c>
      <c r="B350" s="14" t="inlineStr">
        <is>
          <t>TC-TS-19</t>
        </is>
      </c>
      <c r="C350" s="19" t="inlineStr">
        <is>
          <t>P2</t>
        </is>
      </c>
      <c r="D350" s="13" t="inlineStr">
        <is>
          <t>Hapus resto uji</t>
        </is>
      </c>
      <c r="E350" s="13" t="inlineStr">
        <is>
          <t>Seluruh isinya ikut terhapus, termasuk jurnalnya</t>
        </is>
      </c>
      <c r="F350" s="13" t="inlineStr">
        <is>
          <t>TSD §4.0</t>
        </is>
      </c>
      <c r="G350" s="13" t="inlineStr"/>
      <c r="H350" s="13" t="inlineStr"/>
      <c r="I350" s="13" t="inlineStr"/>
    </row>
    <row r="351">
      <c r="A351" s="16" t="inlineStr">
        <is>
          <t>Regresi — bug yang pernah terjadi</t>
        </is>
      </c>
      <c r="B351" s="17" t="inlineStr">
        <is>
          <t>TC-RG-01</t>
        </is>
      </c>
      <c r="C351" s="18" t="inlineStr">
        <is>
          <t>P1</t>
        </is>
      </c>
      <c r="D351" s="16" t="inlineStr">
        <is>
          <t>Nominal QRIS kasir memakai subtotal menu, bukan total tagihan</t>
        </is>
      </c>
      <c r="E351" s="16" t="inlineStr">
        <is>
          <t>Nominal di layar QRIS = total termasuk service dan PPN</t>
        </is>
      </c>
      <c r="F351" s="16" t="inlineStr">
        <is>
          <t>F-KS-09</t>
        </is>
      </c>
      <c r="G351" s="16" t="inlineStr"/>
      <c r="H351" s="16" t="inlineStr"/>
      <c r="I351" s="16" t="inlineStr"/>
    </row>
    <row r="352">
      <c r="A352" s="13" t="inlineStr">
        <is>
          <t>Regresi — bug yang pernah terjadi</t>
        </is>
      </c>
      <c r="B352" s="14" t="inlineStr">
        <is>
          <t>TC-RG-02</t>
        </is>
      </c>
      <c r="C352" s="15" t="inlineStr">
        <is>
          <t>P1</t>
        </is>
      </c>
      <c r="D352" s="13" t="inlineStr">
        <is>
          <t>Pesanan dilunasi lewat QRIS hilang dari Riwayat Kasir</t>
        </is>
      </c>
      <c r="E352" s="13" t="inlineStr">
        <is>
          <t>Semua cara bayar masuk Riwayat Kasir</t>
        </is>
      </c>
      <c r="F352" s="13" t="inlineStr">
        <is>
          <t>F-PP-09, A-13</t>
        </is>
      </c>
      <c r="G352" s="13" t="inlineStr"/>
      <c r="H352" s="13" t="inlineStr"/>
      <c r="I352" s="13" t="inlineStr"/>
    </row>
    <row r="353">
      <c r="A353" s="16" t="inlineStr">
        <is>
          <t>Regresi — bug yang pernah terjadi</t>
        </is>
      </c>
      <c r="B353" s="17" t="inlineStr">
        <is>
          <t>TC-RG-03</t>
        </is>
      </c>
      <c r="C353" s="18" t="inlineStr">
        <is>
          <t>P1</t>
        </is>
      </c>
      <c r="D353" s="16" t="inlineStr">
        <is>
          <t>Pesanan dibatalkan tampil "Menunggu Pembayaran" di Pesanan Masuk</t>
        </is>
      </c>
      <c r="E353" s="16" t="inlineStr">
        <is>
          <t>Tidak muncul sama sekali</t>
        </is>
      </c>
      <c r="F353" s="16" t="inlineStr">
        <is>
          <t>A-17</t>
        </is>
      </c>
      <c r="G353" s="16" t="inlineStr"/>
      <c r="H353" s="16" t="inlineStr"/>
      <c r="I353" s="16" t="inlineStr"/>
    </row>
    <row r="354">
      <c r="A354" s="13" t="inlineStr">
        <is>
          <t>Regresi — bug yang pernah terjadi</t>
        </is>
      </c>
      <c r="B354" s="14" t="inlineStr">
        <is>
          <t>TC-RG-04</t>
        </is>
      </c>
      <c r="C354" s="15" t="inlineStr">
        <is>
          <t>P1</t>
        </is>
      </c>
      <c r="D354" s="13" t="inlineStr">
        <is>
          <t>Top up Rp 100.000 tercatat Rp 200.000 di jurnal</t>
        </is>
      </c>
      <c r="E354" s="13" t="inlineStr">
        <is>
          <t>Nominalnya sama dengan yang diajukan</t>
        </is>
      </c>
      <c r="F354" s="13" t="inlineStr">
        <is>
          <t>F-FN-03</t>
        </is>
      </c>
      <c r="G354" s="13" t="inlineStr"/>
      <c r="H354" s="13" t="inlineStr"/>
      <c r="I354" s="13" t="inlineStr"/>
    </row>
    <row r="355">
      <c r="A355" s="16" t="inlineStr">
        <is>
          <t>Regresi — bug yang pernah terjadi</t>
        </is>
      </c>
      <c r="B355" s="17" t="inlineStr">
        <is>
          <t>TC-RG-05</t>
        </is>
      </c>
      <c r="C355" s="18" t="inlineStr">
        <is>
          <t>P1</t>
        </is>
      </c>
      <c r="D355" s="16" t="inlineStr">
        <is>
          <t>Diskon tidak berlaku untuk pesanan mandiri pelanggan</t>
        </is>
      </c>
      <c r="E355" s="16" t="inlineStr">
        <is>
          <t>Berlaku sama di kasir dan HP pelanggan</t>
        </is>
      </c>
      <c r="F355" s="16" t="inlineStr">
        <is>
          <t>A-14</t>
        </is>
      </c>
      <c r="G355" s="16" t="inlineStr"/>
      <c r="H355" s="16" t="inlineStr"/>
      <c r="I355" s="16" t="inlineStr"/>
    </row>
    <row r="356">
      <c r="A356" s="13" t="inlineStr">
        <is>
          <t>Regresi — bug yang pernah terjadi</t>
        </is>
      </c>
      <c r="B356" s="14" t="inlineStr">
        <is>
          <t>TC-RG-06</t>
        </is>
      </c>
      <c r="C356" s="15" t="inlineStr">
        <is>
          <t>P1</t>
        </is>
      </c>
      <c r="D356" s="13" t="inlineStr">
        <is>
          <t>Promo "beli 2" lolos oleh keranjang berisi dua menu berbeda</t>
        </is>
      </c>
      <c r="E356" s="13" t="inlineStr">
        <is>
          <t>Syarat jumlah dihitung per menu, dan seluruhnya harus terpenuhi</t>
        </is>
      </c>
      <c r="F356" s="13" t="inlineStr">
        <is>
          <t>F-DS-10, F-DS-12</t>
        </is>
      </c>
      <c r="G356" s="13" t="inlineStr"/>
      <c r="H356" s="13" t="inlineStr"/>
      <c r="I356" s="13" t="inlineStr"/>
    </row>
    <row r="357">
      <c r="A357" s="16" t="inlineStr">
        <is>
          <t>Regresi — bug yang pernah terjadi</t>
        </is>
      </c>
      <c r="B357" s="17" t="inlineStr">
        <is>
          <t>TC-RG-07</t>
        </is>
      </c>
      <c r="C357" s="20" t="inlineStr">
        <is>
          <t>P2</t>
        </is>
      </c>
      <c r="D357" s="16" t="inlineStr">
        <is>
          <t>Tombol pilih/hapus di kotak masuk tidak bereaksi sama sekali</t>
        </is>
      </c>
      <c r="E357" s="16" t="inlineStr">
        <is>
          <t>Bekerja di kotak masuk karyawan dan pelanggan</t>
        </is>
      </c>
      <c r="F357" s="16" t="inlineStr">
        <is>
          <t>F-IN-15</t>
        </is>
      </c>
      <c r="G357" s="16" t="inlineStr"/>
      <c r="H357" s="16" t="inlineStr"/>
      <c r="I357" s="16" t="inlineStr"/>
    </row>
    <row r="358">
      <c r="A358" s="13" t="inlineStr">
        <is>
          <t>Regresi — bug yang pernah terjadi</t>
        </is>
      </c>
      <c r="B358" s="14" t="inlineStr">
        <is>
          <t>TC-RG-08</t>
        </is>
      </c>
      <c r="C358" s="19" t="inlineStr">
        <is>
          <t>P2</t>
        </is>
      </c>
      <c r="D358" s="13" t="inlineStr">
        <is>
          <t>Layar Diskon dari hub Kasir menyebut "Belum ada produk di resto ini"</t>
        </is>
      </c>
      <c r="E358" s="13" t="inlineStr">
        <is>
          <t>Daftar menu termuat</t>
        </is>
      </c>
      <c r="F358" s="13" t="inlineStr">
        <is>
          <t>F-DS-01</t>
        </is>
      </c>
      <c r="G358" s="13" t="inlineStr"/>
      <c r="H358" s="13" t="inlineStr"/>
      <c r="I358" s="13" t="inlineStr"/>
    </row>
    <row r="359">
      <c r="A359" s="16" t="inlineStr">
        <is>
          <t>Regresi — bug yang pernah terjadi</t>
        </is>
      </c>
      <c r="B359" s="17" t="inlineStr">
        <is>
          <t>TC-RG-09</t>
        </is>
      </c>
      <c r="C359" s="20" t="inlineStr">
        <is>
          <t>P2</t>
        </is>
      </c>
      <c r="D359" s="16" t="inlineStr">
        <is>
          <t>Kasir tidak bisa membuka detail jurnal — terlihat seperti GL belum dipetakan</t>
        </is>
      </c>
      <c r="E359" s="16" t="inlineStr">
        <is>
          <t>Detail jurnal terbuka</t>
        </is>
      </c>
      <c r="F359" s="16" t="inlineStr">
        <is>
          <t>F-KS-13</t>
        </is>
      </c>
      <c r="G359" s="16" t="inlineStr"/>
      <c r="H359" s="16" t="inlineStr"/>
      <c r="I359" s="16" t="inlineStr"/>
    </row>
    <row r="360">
      <c r="A360" s="13" t="inlineStr">
        <is>
          <t>Regresi — bug yang pernah terjadi</t>
        </is>
      </c>
      <c r="B360" s="14" t="inlineStr">
        <is>
          <t>TC-RG-10</t>
        </is>
      </c>
      <c r="C360" s="19" t="inlineStr">
        <is>
          <t>P2</t>
        </is>
      </c>
      <c r="D360" s="13" t="inlineStr">
        <is>
          <t>Layar dapur meninggalkan jejak warna lama saat tema diganti</t>
        </is>
      </c>
      <c r="E360" s="13" t="inlineStr">
        <is>
          <t>Seluruh layar berganti bersih</t>
        </is>
      </c>
      <c r="F360" s="13" t="inlineStr">
        <is>
          <t>A-18</t>
        </is>
      </c>
      <c r="G360" s="13" t="inlineStr"/>
      <c r="H360" s="13" t="inlineStr"/>
      <c r="I360" s="13" t="inlineStr"/>
    </row>
    <row r="361">
      <c r="A361" s="16" t="inlineStr">
        <is>
          <t>Regresi — bug yang pernah terjadi</t>
        </is>
      </c>
      <c r="B361" s="17" t="inlineStr">
        <is>
          <t>TC-RG-11</t>
        </is>
      </c>
      <c r="C361" s="20" t="inlineStr">
        <is>
          <t>P2</t>
        </is>
      </c>
      <c r="D361" s="16" t="inlineStr">
        <is>
          <t>Banner promo menempel di atas, tidak ikut tergulir</t>
        </is>
      </c>
      <c r="E361" s="16" t="inlineStr">
        <is>
          <t>Ikut tergulir bersama menunya</t>
        </is>
      </c>
      <c r="F361" s="16" t="inlineStr">
        <is>
          <t>F-CU-16, A-12</t>
        </is>
      </c>
      <c r="G361" s="16" t="inlineStr"/>
      <c r="H361" s="16" t="inlineStr"/>
      <c r="I361" s="16" t="inlineStr"/>
    </row>
    <row r="362">
      <c r="A362" s="13" t="inlineStr">
        <is>
          <t>Regresi — bug yang pernah terjadi</t>
        </is>
      </c>
      <c r="B362" s="14" t="inlineStr">
        <is>
          <t>TC-RG-12</t>
        </is>
      </c>
      <c r="C362" s="19" t="inlineStr">
        <is>
          <t>P2</t>
        </is>
      </c>
      <c r="D362" s="13" t="inlineStr">
        <is>
          <t>Owner hanya bisa melihat Info Pembayaran</t>
        </is>
      </c>
      <c r="E362" s="13" t="inlineStr">
        <is>
          <t>Owner bisa mengubahnya</t>
        </is>
      </c>
      <c r="F362" s="13" t="inlineStr">
        <is>
          <t>F-SD-02</t>
        </is>
      </c>
      <c r="G362" s="13" t="inlineStr"/>
      <c r="H362" s="13" t="inlineStr"/>
      <c r="I362" s="13" t="inlineStr"/>
    </row>
    <row r="363">
      <c r="A363" s="16" t="inlineStr">
        <is>
          <t>Regresi — bug yang pernah terjadi</t>
        </is>
      </c>
      <c r="B363" s="17" t="inlineStr">
        <is>
          <t>TC-RG-13</t>
        </is>
      </c>
      <c r="C363" s="18" t="inlineStr">
        <is>
          <t>P1</t>
        </is>
      </c>
      <c r="D363" s="16" t="inlineStr">
        <is>
          <t>Migrasi gagal: daftar nilai batasan menyempit saat berkas lama dijalankan ulang</t>
        </is>
      </c>
      <c r="E363" s="16" t="inlineStr">
        <is>
          <t>Menjalankan ulang berkas mana pun tidak pernah menolak data yang sudah ada</t>
        </is>
      </c>
      <c r="F363" s="16" t="inlineStr">
        <is>
          <t>TSD §11.1</t>
        </is>
      </c>
      <c r="G363" s="16" t="inlineStr"/>
      <c r="H363" s="16" t="inlineStr"/>
      <c r="I363" s="16" t="inlineStr"/>
    </row>
    <row r="364">
      <c r="A364" s="13" t="inlineStr">
        <is>
          <t>Regresi — bug yang pernah terjadi</t>
        </is>
      </c>
      <c r="B364" s="14" t="inlineStr">
        <is>
          <t>TC-RG-14</t>
        </is>
      </c>
      <c r="C364" s="19" t="inlineStr">
        <is>
          <t>P2</t>
        </is>
      </c>
      <c r="D364" s="13" t="inlineStr">
        <is>
          <t>QR meja borongan bernomor 07, berbeda dengan mode satu meja</t>
        </is>
      </c>
      <c r="E364" s="13" t="inlineStr">
        <is>
          <t>Keduanya menulis 7</t>
        </is>
      </c>
      <c r="F364" s="13" t="inlineStr">
        <is>
          <t>F-QR-07</t>
        </is>
      </c>
      <c r="G364" s="13" t="inlineStr"/>
      <c r="H364" s="13" t="inlineStr"/>
      <c r="I364" s="13" t="inlineStr"/>
    </row>
    <row r="365">
      <c r="A365" s="16" t="inlineStr">
        <is>
          <t>Uji Ujung-ke-Ujung</t>
        </is>
      </c>
      <c r="B365" s="17" t="inlineStr">
        <is>
          <t>E2E-09</t>
        </is>
      </c>
      <c r="C365" s="18" t="inlineStr">
        <is>
          <t>P1</t>
        </is>
      </c>
      <c r="D365" s="16" t="inlineStr">
        <is>
          <t>Satu siklus langganan penuh</t>
        </is>
      </c>
      <c r="E365" s="16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365" s="16" t="inlineStr">
        <is>
          <t>F-BL-07 … F-BL-18, TSD §7.3</t>
        </is>
      </c>
      <c r="G365" s="16" t="inlineStr"/>
      <c r="H365" s="16" t="inlineStr"/>
      <c r="I365" s="16" t="inlineStr"/>
    </row>
    <row r="366">
      <c r="A366" s="13" t="inlineStr">
        <is>
          <t>Uji Ujung-ke-Ujung</t>
        </is>
      </c>
      <c r="B366" s="14" t="inlineStr">
        <is>
          <t>E2E-01</t>
        </is>
      </c>
      <c r="C366" s="15" t="inlineStr">
        <is>
          <t>P1</t>
        </is>
      </c>
      <c r="D366" s="13" t="inlineStr">
        <is>
          <t>Pelanggan bayar QRIS</t>
        </is>
      </c>
      <c r="E366" s="13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366" s="13" t="inlineStr">
        <is>
          <t>F-CU-09, F-PG-02, F-CH-06, TSD §6, TSD §7.1</t>
        </is>
      </c>
      <c r="G366" s="13" t="inlineStr"/>
      <c r="H366" s="13" t="inlineStr"/>
      <c r="I366" s="13" t="inlineStr"/>
    </row>
    <row r="367">
      <c r="A367" s="16" t="inlineStr">
        <is>
          <t>Uji Ujung-ke-Ujung</t>
        </is>
      </c>
      <c r="B367" s="17" t="inlineStr">
        <is>
          <t>E2E-02</t>
        </is>
      </c>
      <c r="C367" s="18" t="inlineStr">
        <is>
          <t>P1</t>
        </is>
      </c>
      <c r="D367" s="16" t="inlineStr">
        <is>
          <t>Pelanggan bayar tunai di kasir</t>
        </is>
      </c>
      <c r="E367" s="16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367" s="16" t="inlineStr">
        <is>
          <t>F-CU-09, F-PP-01, F-PP-06, F-PP-07, F-CH-06, A-02, A-13</t>
        </is>
      </c>
      <c r="G367" s="16" t="inlineStr"/>
      <c r="H367" s="16" t="inlineStr"/>
      <c r="I367" s="16" t="inlineStr"/>
    </row>
    <row r="368">
      <c r="A368" s="13" t="inlineStr">
        <is>
          <t>Uji Ujung-ke-Ujung</t>
        </is>
      </c>
      <c r="B368" s="14" t="inlineStr">
        <is>
          <t>E2E-03</t>
        </is>
      </c>
      <c r="C368" s="15" t="inlineStr">
        <is>
          <t>P1</t>
        </is>
      </c>
      <c r="D368" s="13" t="inlineStr">
        <is>
          <t>Tunai dengan cara bayar diganti</t>
        </is>
      </c>
      <c r="E368" s="13" t="inlineStr">
        <is>
          <t>1. Ulangi E2E-02, tapi pada langkah 4 ganti cara bayarnya ke QRIS.
2. Pesanannya harus tetap masuk Riwayat Kasir, dan masuk Non Cash
3. di Saldo.</t>
        </is>
      </c>
      <c r="F368" s="13" t="inlineStr">
        <is>
          <t>F-PP-09, A-13, TSD §4.2</t>
        </is>
      </c>
      <c r="G368" s="13" t="inlineStr"/>
      <c r="H368" s="13" t="inlineStr"/>
      <c r="I368" s="13" t="inlineStr"/>
    </row>
    <row r="369">
      <c r="A369" s="16" t="inlineStr">
        <is>
          <t>Uji Ujung-ke-Ujung</t>
        </is>
      </c>
      <c r="B369" s="17" t="inlineStr">
        <is>
          <t>E2E-04</t>
        </is>
      </c>
      <c r="C369" s="18" t="inlineStr">
        <is>
          <t>P1</t>
        </is>
      </c>
      <c r="D369" s="16" t="inlineStr">
        <is>
          <t>Setor tunai ke rekening</t>
        </is>
      </c>
      <c r="E369" s="16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369" s="16" t="inlineStr">
        <is>
          <t>F-SD-01, F-SD-05, A-05, TSD §6.4</t>
        </is>
      </c>
      <c r="G369" s="16" t="inlineStr"/>
      <c r="H369" s="16" t="inlineStr"/>
      <c r="I369" s="16" t="inlineStr"/>
    </row>
    <row r="370">
      <c r="A370" s="13" t="inlineStr">
        <is>
          <t>Uji Ujung-ke-Ujung</t>
        </is>
      </c>
      <c r="B370" s="14" t="inlineStr">
        <is>
          <t>E2E-05</t>
        </is>
      </c>
      <c r="C370" s="15" t="inlineStr">
        <is>
          <t>P1</t>
        </is>
      </c>
      <c r="D370" s="13" t="inlineStr">
        <is>
          <t>Top up petty cash</t>
        </is>
      </c>
      <c r="E370" s="13" t="inlineStr">
        <is>
          <t>1. Sama polanya dengan E2E-04, lewat GL Suspense Petty Cash. Top up
2. Rp 100.000 harus menambah Petty Cash Rp 100.000 — bukan Rp 200.000.</t>
        </is>
      </c>
      <c r="F370" s="13" t="inlineStr">
        <is>
          <t>F-FN-03, TSD §6.4</t>
        </is>
      </c>
      <c r="G370" s="13" t="inlineStr"/>
      <c r="H370" s="13" t="inlineStr"/>
      <c r="I370" s="13" t="inlineStr"/>
    </row>
    <row r="371">
      <c r="A371" s="16" t="inlineStr">
        <is>
          <t>Uji Ujung-ke-Ujung</t>
        </is>
      </c>
      <c r="B371" s="17" t="inlineStr">
        <is>
          <t>E2E-06</t>
        </is>
      </c>
      <c r="C371" s="18" t="inlineStr">
        <is>
          <t>P1</t>
        </is>
      </c>
      <c r="D371" s="16" t="inlineStr">
        <is>
          <t>Promo bundling dari HP pelanggan</t>
        </is>
      </c>
      <c r="E371" s="16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371" s="16" t="inlineStr">
        <is>
          <t>F-DS-10, F-DS-12, F-CU-17, F-DS-08, F-DS-09, A-14</t>
        </is>
      </c>
      <c r="G371" s="16" t="inlineStr"/>
      <c r="H371" s="16" t="inlineStr"/>
      <c r="I371" s="16" t="inlineStr"/>
    </row>
    <row r="372">
      <c r="A372" s="13" t="inlineStr">
        <is>
          <t>Uji Ujung-ke-Ujung</t>
        </is>
      </c>
      <c r="B372" s="14" t="inlineStr">
        <is>
          <t>E2E-07</t>
        </is>
      </c>
      <c r="C372" s="15" t="inlineStr">
        <is>
          <t>P1</t>
        </is>
      </c>
      <c r="D372" s="13" t="inlineStr">
        <is>
          <t>Pembatalan oleh pelanggan</t>
        </is>
      </c>
      <c r="E372" s="13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372" s="13" t="inlineStr">
        <is>
          <t>F-CN-01, A-17</t>
        </is>
      </c>
      <c r="G372" s="13" t="inlineStr"/>
      <c r="H372" s="13" t="inlineStr"/>
      <c r="I372" s="13" t="inlineStr"/>
    </row>
    <row r="373">
      <c r="A373" s="16" t="inlineStr">
        <is>
          <t>Uji Ujung-ke-Ujung</t>
        </is>
      </c>
      <c r="B373" s="17" t="inlineStr">
        <is>
          <t>E2E-08</t>
        </is>
      </c>
      <c r="C373" s="18" t="inlineStr">
        <is>
          <t>P1</t>
        </is>
      </c>
      <c r="D373" s="16" t="inlineStr">
        <is>
          <t>Isolasi antar cabang</t>
        </is>
      </c>
      <c r="E373" s="16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373" s="16" t="inlineStr">
        <is>
          <t>F-AD-08, F-IN-10, A-10</t>
        </is>
      </c>
      <c r="G373" s="16" t="inlineStr"/>
      <c r="H373" s="16" t="inlineStr"/>
      <c r="I373" s="16" t="inlineStr"/>
    </row>
  </sheetData>
  <autoFilter ref="A1:I373"/>
  <dataValidations count="1">
    <dataValidation sqref="G2:G373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2026-08-17T15:45:12Z</dcterms:created>
  <dcterms:modified xmlns:dcterms="http://purl.org/dc/terms/" xmlns:xsi="http://www.w3.org/2001/XMLSchema-instance" xsi:type="dcterms:W3CDTF">2026-08-17T15:45:23Z</dcterms:modified>
</cp:coreProperties>
</file>