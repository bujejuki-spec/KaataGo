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Uji'!$A$1:$I$508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Uji'!C2:C508,"P1")</f>
        <v/>
      </c>
      <c r="C5" s="5">
        <f>COUNTIFS('Kasus Uji'!C2:C508,"P1",'Kasus Uji'!G2:G508,"Lulus")</f>
        <v/>
      </c>
      <c r="D5" s="5">
        <f>COUNTIFS('Kasus Uji'!C2:C508,"P1",'Kasus Uji'!G2:G508,"Gagal")</f>
        <v/>
      </c>
      <c r="E5" s="5">
        <f>COUNTIFS('Kasus Uji'!C2:C508,"P1",'Kasus Uji'!G2:G508,"Terblokir")</f>
        <v/>
      </c>
      <c r="F5" s="5">
        <f>COUNTIFS('Kasus Uji'!C2:C508,"P1",'Kasus Uji'!G2:G508,"Dilewati")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Uji'!C2:C508,"P2")</f>
        <v/>
      </c>
      <c r="C6" s="5">
        <f>COUNTIFS('Kasus Uji'!C2:C508,"P2",'Kasus Uji'!G2:G508,"Lulus")</f>
        <v/>
      </c>
      <c r="D6" s="5">
        <f>COUNTIFS('Kasus Uji'!C2:C508,"P2",'Kasus Uji'!G2:G508,"Gagal")</f>
        <v/>
      </c>
      <c r="E6" s="5">
        <f>COUNTIFS('Kasus Uji'!C2:C508,"P2",'Kasus Uji'!G2:G508,"Terblokir")</f>
        <v/>
      </c>
      <c r="F6" s="5">
        <f>COUNTIFS('Kasus Uji'!C2:C508,"P2",'Kasus Uji'!G2:G508,"Dilewati")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Uji'!C2:C508,"P3")</f>
        <v/>
      </c>
      <c r="C7" s="5">
        <f>COUNTIFS('Kasus Uji'!C2:C508,"P3",'Kasus Uji'!G2:G508,"Lulus")</f>
        <v/>
      </c>
      <c r="D7" s="5">
        <f>COUNTIFS('Kasus Uji'!C2:C508,"P3",'Kasus Uji'!G2:G508,"Gagal")</f>
        <v/>
      </c>
      <c r="E7" s="5">
        <f>COUNTIFS('Kasus Uji'!C2:C508,"P3",'Kasus Uji'!G2:G508,"Terblokir")</f>
        <v/>
      </c>
      <c r="F7" s="5">
        <f>COUNTIFS('Kasus Uji'!C2:C508,"P3",'Kasus Uji'!G2:G508,"Dilewati")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Uji'!A2:A508,"Pelanggan")</f>
        <v/>
      </c>
      <c r="C12" s="5">
        <f>COUNTIFS('Kasus Uji'!A2:A508,"Pelanggan",'Kasus Uji'!G2:G508,"Lulus")</f>
        <v/>
      </c>
      <c r="D12" s="5">
        <f>COUNTIFS('Kasus Uji'!A2:A508,"Pelanggan",'Kasus Uji'!G2:G508,"Gagal")</f>
        <v/>
      </c>
      <c r="E12" s="5">
        <f>COUNTIFS('Kasus Uji'!A2:A508,"Pelanggan",'Kasus Uji'!G2:G508,"Terblokir")</f>
        <v/>
      </c>
      <c r="F12" s="5">
        <f>COUNTIFS('Kasus Uji'!A2:A508,"Pelanggan",'Kasus Uji'!G2:G508,"Dilewati")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Uji'!A2:A508,"Kasir")</f>
        <v/>
      </c>
      <c r="C13" s="5">
        <f>COUNTIFS('Kasus Uji'!A2:A508,"Kasir",'Kasus Uji'!G2:G508,"Lulus")</f>
        <v/>
      </c>
      <c r="D13" s="5">
        <f>COUNTIFS('Kasus Uji'!A2:A508,"Kasir",'Kasus Uji'!G2:G508,"Gagal")</f>
        <v/>
      </c>
      <c r="E13" s="5">
        <f>COUNTIFS('Kasus Uji'!A2:A508,"Kasir",'Kasus Uji'!G2:G508,"Terblokir")</f>
        <v/>
      </c>
      <c r="F13" s="5">
        <f>COUNTIFS('Kasus Uji'!A2:A508,"Kasir",'Kasus Uji'!G2:G508,"Dilewati")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Uji'!A2:A508,"Pending Payment")</f>
        <v/>
      </c>
      <c r="C14" s="5">
        <f>COUNTIFS('Kasus Uji'!A2:A508,"Pending Payment",'Kasus Uji'!G2:G508,"Lulus")</f>
        <v/>
      </c>
      <c r="D14" s="5">
        <f>COUNTIFS('Kasus Uji'!A2:A508,"Pending Payment",'Kasus Uji'!G2:G508,"Gagal")</f>
        <v/>
      </c>
      <c r="E14" s="5">
        <f>COUNTIFS('Kasus Uji'!A2:A508,"Pending Payment",'Kasus Uji'!G2:G508,"Terblokir")</f>
        <v/>
      </c>
      <c r="F14" s="5">
        <f>COUNTIFS('Kasus Uji'!A2:A508,"Pending Payment",'Kasus Uji'!G2:G508,"Dilewati")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Uji'!A2:A508,"Dapur")</f>
        <v/>
      </c>
      <c r="C15" s="5">
        <f>COUNTIFS('Kasus Uji'!A2:A508,"Dapur",'Kasus Uji'!G2:G508,"Lulus")</f>
        <v/>
      </c>
      <c r="D15" s="5">
        <f>COUNTIFS('Kasus Uji'!A2:A508,"Dapur",'Kasus Uji'!G2:G508,"Gagal")</f>
        <v/>
      </c>
      <c r="E15" s="5">
        <f>COUNTIFS('Kasus Uji'!A2:A508,"Dapur",'Kasus Uji'!G2:G508,"Terblokir")</f>
        <v/>
      </c>
      <c r="F15" s="5">
        <f>COUNTIFS('Kasus Uji'!A2:A508,"Dapur",'Kasus Uji'!G2:G508,"Dilewati")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Uji'!A2:A508,"Keuangan")</f>
        <v/>
      </c>
      <c r="C16" s="5">
        <f>COUNTIFS('Kasus Uji'!A2:A508,"Keuangan",'Kasus Uji'!G2:G508,"Lulus")</f>
        <v/>
      </c>
      <c r="D16" s="5">
        <f>COUNTIFS('Kasus Uji'!A2:A508,"Keuangan",'Kasus Uji'!G2:G508,"Gagal")</f>
        <v/>
      </c>
      <c r="E16" s="5">
        <f>COUNTIFS('Kasus Uji'!A2:A508,"Keuangan",'Kasus Uji'!G2:G508,"Terblokir")</f>
        <v/>
      </c>
      <c r="F16" s="5">
        <f>COUNTIFS('Kasus Uji'!A2:A508,"Keuangan",'Kasus Uji'!G2:G508,"Dilewati")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Uji'!A2:A508,"Setor Saldo Cash")</f>
        <v/>
      </c>
      <c r="C17" s="5">
        <f>COUNTIFS('Kasus Uji'!A2:A508,"Setor Saldo Cash",'Kasus Uji'!G2:G508,"Lulus")</f>
        <v/>
      </c>
      <c r="D17" s="5">
        <f>COUNTIFS('Kasus Uji'!A2:A508,"Setor Saldo Cash",'Kasus Uji'!G2:G508,"Gagal")</f>
        <v/>
      </c>
      <c r="E17" s="5">
        <f>COUNTIFS('Kasus Uji'!A2:A508,"Setor Saldo Cash",'Kasus Uji'!G2:G508,"Terblokir")</f>
        <v/>
      </c>
      <c r="F17" s="5">
        <f>COUNTIFS('Kasus Uji'!A2:A508,"Setor Saldo Cash",'Kasus Uji'!G2:G508,"Dilewati")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Uji'!A2:A508,"Katalog &amp; Pengaturan")</f>
        <v/>
      </c>
      <c r="C18" s="5">
        <f>COUNTIFS('Kasus Uji'!A2:A508,"Katalog &amp; Pengaturan",'Kasus Uji'!G2:G508,"Lulus")</f>
        <v/>
      </c>
      <c r="D18" s="5">
        <f>COUNTIFS('Kasus Uji'!A2:A508,"Katalog &amp; Pengaturan",'Kasus Uji'!G2:G508,"Gagal")</f>
        <v/>
      </c>
      <c r="E18" s="5">
        <f>COUNTIFS('Kasus Uji'!A2:A508,"Katalog &amp; Pengaturan",'Kasus Uji'!G2:G508,"Terblokir")</f>
        <v/>
      </c>
      <c r="F18" s="5">
        <f>COUNTIFS('Kasus Uji'!A2:A508,"Katalog &amp; Pengaturan",'Kasus Uji'!G2:G508,"Dilewati")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Uji'!A2:A508,"QR Meja")</f>
        <v/>
      </c>
      <c r="C19" s="5">
        <f>COUNTIFS('Kasus Uji'!A2:A508,"QR Meja",'Kasus Uji'!G2:G508,"Lulus")</f>
        <v/>
      </c>
      <c r="D19" s="5">
        <f>COUNTIFS('Kasus Uji'!A2:A508,"QR Meja",'Kasus Uji'!G2:G508,"Gagal")</f>
        <v/>
      </c>
      <c r="E19" s="5">
        <f>COUNTIFS('Kasus Uji'!A2:A508,"QR Meja",'Kasus Uji'!G2:G508,"Terblokir")</f>
        <v/>
      </c>
      <c r="F19" s="5">
        <f>COUNTIFS('Kasus Uji'!A2:A508,"QR Meja",'Kasus Uji'!G2:G508,"Dilewati")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Uji'!A2:A508,"Diskon")</f>
        <v/>
      </c>
      <c r="C20" s="5">
        <f>COUNTIFS('Kasus Uji'!A2:A508,"Diskon",'Kasus Uji'!G2:G508,"Lulus")</f>
        <v/>
      </c>
      <c r="D20" s="5">
        <f>COUNTIFS('Kasus Uji'!A2:A508,"Diskon",'Kasus Uji'!G2:G508,"Gagal")</f>
        <v/>
      </c>
      <c r="E20" s="5">
        <f>COUNTIFS('Kasus Uji'!A2:A508,"Diskon",'Kasus Uji'!G2:G508,"Terblokir")</f>
        <v/>
      </c>
      <c r="F20" s="5">
        <f>COUNTIFS('Kasus Uji'!A2:A508,"Diskon",'Kasus Uji'!G2:G508,"Dilewati")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Uji'!A2:A508,"Kotak Masuk &amp; Pengumuman")</f>
        <v/>
      </c>
      <c r="C21" s="5">
        <f>COUNTIFS('Kasus Uji'!A2:A508,"Kotak Masuk &amp; Pengumuman",'Kasus Uji'!G2:G508,"Lulus")</f>
        <v/>
      </c>
      <c r="D21" s="5">
        <f>COUNTIFS('Kasus Uji'!A2:A508,"Kotak Masuk &amp; Pengumuman",'Kasus Uji'!G2:G508,"Gagal")</f>
        <v/>
      </c>
      <c r="E21" s="5">
        <f>COUNTIFS('Kasus Uji'!A2:A508,"Kotak Masuk &amp; Pengumuman",'Kasus Uji'!G2:G508,"Terblokir")</f>
        <v/>
      </c>
      <c r="F21" s="5">
        <f>COUNTIFS('Kasus Uji'!A2:A508,"Kotak Masuk &amp; Pengumuman",'Kasus Uji'!G2:G508,"Dilewati")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Uji'!A2:A508,"Pembayaran QRIS")</f>
        <v/>
      </c>
      <c r="C22" s="5">
        <f>COUNTIFS('Kasus Uji'!A2:A508,"Pembayaran QRIS",'Kasus Uji'!G2:G508,"Lulus")</f>
        <v/>
      </c>
      <c r="D22" s="5">
        <f>COUNTIFS('Kasus Uji'!A2:A508,"Pembayaran QRIS",'Kasus Uji'!G2:G508,"Gagal")</f>
        <v/>
      </c>
      <c r="E22" s="5">
        <f>COUNTIFS('Kasus Uji'!A2:A508,"Pembayaran QRIS",'Kasus Uji'!G2:G508,"Terblokir")</f>
        <v/>
      </c>
      <c r="F22" s="5">
        <f>COUNTIFS('Kasus Uji'!A2:A508,"Pembayaran QRIS",'Kasus Uji'!G2:G508,"Dilewati")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Uji'!A2:A508,"Pembatalan &amp; Kedaluwarsa")</f>
        <v/>
      </c>
      <c r="C23" s="5">
        <f>COUNTIFS('Kasus Uji'!A2:A508,"Pembatalan &amp; Kedaluwarsa",'Kasus Uji'!G2:G508,"Lulus")</f>
        <v/>
      </c>
      <c r="D23" s="5">
        <f>COUNTIFS('Kasus Uji'!A2:A508,"Pembatalan &amp; Kedaluwarsa",'Kasus Uji'!G2:G508,"Gagal")</f>
        <v/>
      </c>
      <c r="E23" s="5">
        <f>COUNTIFS('Kasus Uji'!A2:A508,"Pembatalan &amp; Kedaluwarsa",'Kasus Uji'!G2:G508,"Terblokir")</f>
        <v/>
      </c>
      <c r="F23" s="5">
        <f>COUNTIFS('Kasus Uji'!A2:A508,"Pembatalan &amp; Kedaluwarsa",'Kasus Uji'!G2:G508,"Dilewati")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Uji'!A2:A508,"Sesi Meja &amp; Identitas")</f>
        <v/>
      </c>
      <c r="C24" s="5">
        <f>COUNTIFS('Kasus Uji'!A2:A508,"Sesi Meja &amp; Identitas",'Kasus Uji'!G2:G508,"Lulus")</f>
        <v/>
      </c>
      <c r="D24" s="5">
        <f>COUNTIFS('Kasus Uji'!A2:A508,"Sesi Meja &amp; Identitas",'Kasus Uji'!G2:G508,"Gagal")</f>
        <v/>
      </c>
      <c r="E24" s="5">
        <f>COUNTIFS('Kasus Uji'!A2:A508,"Sesi Meja &amp; Identitas",'Kasus Uji'!G2:G508,"Terblokir")</f>
        <v/>
      </c>
      <c r="F24" s="5">
        <f>COUNTIFS('Kasus Uji'!A2:A508,"Sesi Meja &amp; Identitas",'Kasus Uji'!G2:G508,"Dilewati")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Uji'!A2:A508,"Tampilan")</f>
        <v/>
      </c>
      <c r="C25" s="5">
        <f>COUNTIFS('Kasus Uji'!A2:A508,"Tampilan",'Kasus Uji'!G2:G508,"Lulus")</f>
        <v/>
      </c>
      <c r="D25" s="5">
        <f>COUNTIFS('Kasus Uji'!A2:A508,"Tampilan",'Kasus Uji'!G2:G508,"Gagal")</f>
        <v/>
      </c>
      <c r="E25" s="5">
        <f>COUNTIFS('Kasus Uji'!A2:A508,"Tampilan",'Kasus Uji'!G2:G508,"Terblokir")</f>
        <v/>
      </c>
      <c r="F25" s="5">
        <f>COUNTIFS('Kasus Uji'!A2:A508,"Tampilan",'Kasus Uji'!G2:G508,"Dilewati")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Uji'!A2:A508,"Super Admin")</f>
        <v/>
      </c>
      <c r="C26" s="5">
        <f>COUNTIFS('Kasus Uji'!A2:A508,"Super Admin",'Kasus Uji'!G2:G508,"Lulus")</f>
        <v/>
      </c>
      <c r="D26" s="5">
        <f>COUNTIFS('Kasus Uji'!A2:A508,"Super Admin",'Kasus Uji'!G2:G508,"Gagal")</f>
        <v/>
      </c>
      <c r="E26" s="5">
        <f>COUNTIFS('Kasus Uji'!A2:A508,"Super Admin",'Kasus Uji'!G2:G508,"Terblokir")</f>
        <v/>
      </c>
      <c r="F26" s="5">
        <f>COUNTIFS('Kasus Uji'!A2:A508,"Super Admin",'Kasus Uji'!G2:G508,"Dilewati")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Uji'!A2:A508,"Pembaruan Aplikasi")</f>
        <v/>
      </c>
      <c r="C27" s="5">
        <f>COUNTIFS('Kasus Uji'!A2:A508,"Pembaruan Aplikasi",'Kasus Uji'!G2:G508,"Lulus")</f>
        <v/>
      </c>
      <c r="D27" s="5">
        <f>COUNTIFS('Kasus Uji'!A2:A508,"Pembaruan Aplikasi",'Kasus Uji'!G2:G508,"Gagal")</f>
        <v/>
      </c>
      <c r="E27" s="5">
        <f>COUNTIFS('Kasus Uji'!A2:A508,"Pembaruan Aplikasi",'Kasus Uji'!G2:G508,"Terblokir")</f>
        <v/>
      </c>
      <c r="F27" s="5">
        <f>COUNTIFS('Kasus Uji'!A2:A508,"Pembaruan Aplikasi",'Kasus Uji'!G2:G508,"Dilewati")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Uji'!A2:A508,"## 19b. Langganan &amp; Tagihan Resto")</f>
        <v/>
      </c>
      <c r="C28" s="5">
        <f>COUNTIFS('Kasus Uji'!A2:A508,"## 19b. Langganan &amp; Tagihan Resto",'Kasus Uji'!G2:G508,"Lulus")</f>
        <v/>
      </c>
      <c r="D28" s="5">
        <f>COUNTIFS('Kasus Uji'!A2:A508,"## 19b. Langganan &amp; Tagihan Resto",'Kasus Uji'!G2:G508,"Gagal")</f>
        <v/>
      </c>
      <c r="E28" s="5">
        <f>COUNTIFS('Kasus Uji'!A2:A508,"## 19b. Langganan &amp; Tagihan Resto",'Kasus Uji'!G2:G508,"Terblokir")</f>
        <v/>
      </c>
      <c r="F28" s="5">
        <f>COUNTIFS('Kasus Uji'!A2:A508,"## 19b. Langganan &amp; Tagihan Resto",'Kasus Uji'!G2:G508,"Dilewati")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Uji'!A2:A508,"## 19c. Finance KaataGo (Super Admin)")</f>
        <v/>
      </c>
      <c r="C29" s="5">
        <f>COUNTIFS('Kasus Uji'!A2:A508,"## 19c. Finance KaataGo (Super Admin)",'Kasus Uji'!G2:G508,"Lulus")</f>
        <v/>
      </c>
      <c r="D29" s="5">
        <f>COUNTIFS('Kasus Uji'!A2:A508,"## 19c. Finance KaataGo (Super Admin)",'Kasus Uji'!G2:G508,"Gagal")</f>
        <v/>
      </c>
      <c r="E29" s="5">
        <f>COUNTIFS('Kasus Uji'!A2:A508,"## 19c. Finance KaataGo (Super Admin)",'Kasus Uji'!G2:G508,"Terblokir")</f>
        <v/>
      </c>
      <c r="F29" s="5">
        <f>COUNTIFS('Kasus Uji'!A2:A508,"## 19c. Finance KaataGo (Super Admin)",'Kasus Uji'!G2:G508,"Dilewati")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Uji'!A2:A508,"## 19d. Voucher Pelanggan")</f>
        <v/>
      </c>
      <c r="C30" s="5">
        <f>COUNTIFS('Kasus Uji'!A2:A508,"## 19d. Voucher Pelanggan",'Kasus Uji'!G2:G508,"Lulus")</f>
        <v/>
      </c>
      <c r="D30" s="5">
        <f>COUNTIFS('Kasus Uji'!A2:A508,"## 19d. Voucher Pelanggan",'Kasus Uji'!G2:G508,"Gagal")</f>
        <v/>
      </c>
      <c r="E30" s="5">
        <f>COUNTIFS('Kasus Uji'!A2:A508,"## 19d. Voucher Pelanggan",'Kasus Uji'!G2:G508,"Terblokir")</f>
        <v/>
      </c>
      <c r="F30" s="5">
        <f>COUNTIFS('Kasus Uji'!A2:A508,"## 19d. Voucher Pelanggan",'Kasus Uji'!G2:G508,"Dilewati")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Uji'!A2:A508,"## 19e. Analisa Pasar")</f>
        <v/>
      </c>
      <c r="C31" s="5">
        <f>COUNTIFS('Kasus Uji'!A2:A508,"## 19e. Analisa Pasar",'Kasus Uji'!G2:G508,"Lulus")</f>
        <v/>
      </c>
      <c r="D31" s="5">
        <f>COUNTIFS('Kasus Uji'!A2:A508,"## 19e. Analisa Pasar",'Kasus Uji'!G2:G508,"Gagal")</f>
        <v/>
      </c>
      <c r="E31" s="5">
        <f>COUNTIFS('Kasus Uji'!A2:A508,"## 19e. Analisa Pasar",'Kasus Uji'!G2:G508,"Terblokir")</f>
        <v/>
      </c>
      <c r="F31" s="5">
        <f>COUNTIFS('Kasus Uji'!A2:A508,"## 19e. Analisa Pasar",'Kasus Uji'!G2:G508,"Dilewati")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Uji'!A2:A508,"Uji Teknis (lingkup TSD)")</f>
        <v/>
      </c>
      <c r="C32" s="5">
        <f>COUNTIFS('Kasus Uji'!A2:A508,"Uji Teknis (lingkup TSD)",'Kasus Uji'!G2:G508,"Lulus")</f>
        <v/>
      </c>
      <c r="D32" s="5">
        <f>COUNTIFS('Kasus Uji'!A2:A508,"Uji Teknis (lingkup TSD)",'Kasus Uji'!G2:G508,"Gagal")</f>
        <v/>
      </c>
      <c r="E32" s="5">
        <f>COUNTIFS('Kasus Uji'!A2:A508,"Uji Teknis (lingkup TSD)",'Kasus Uji'!G2:G508,"Terblokir")</f>
        <v/>
      </c>
      <c r="F32" s="5">
        <f>COUNTIFS('Kasus Uji'!A2:A508,"Uji Teknis (lingkup TSD)",'Kasus Uji'!G2:G508,"Dilewati")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Uji'!A2:A508,"Regresi — bug yang pernah terjadi")</f>
        <v/>
      </c>
      <c r="C33" s="5">
        <f>COUNTIFS('Kasus Uji'!A2:A508,"Regresi — bug yang pernah terjadi",'Kasus Uji'!G2:G508,"Lulus")</f>
        <v/>
      </c>
      <c r="D33" s="5">
        <f>COUNTIFS('Kasus Uji'!A2:A508,"Regresi — bug yang pernah terjadi",'Kasus Uji'!G2:G508,"Gagal")</f>
        <v/>
      </c>
      <c r="E33" s="5">
        <f>COUNTIFS('Kasus Uji'!A2:A508,"Regresi — bug yang pernah terjadi",'Kasus Uji'!G2:G508,"Terblokir")</f>
        <v/>
      </c>
      <c r="F33" s="5">
        <f>COUNTIFS('Kasus Uji'!A2:A508,"Regresi — bug yang pernah terjadi",'Kasus Uji'!G2:G508,"Dilewati")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Uji'!A2:A508,"Uji Ujung-ke-Ujung")</f>
        <v/>
      </c>
      <c r="C34" s="5">
        <f>COUNTIFS('Kasus Uji'!A2:A508,"Uji Ujung-ke-Ujung",'Kasus Uji'!G2:G508,"Lulus")</f>
        <v/>
      </c>
      <c r="D34" s="5">
        <f>COUNTIFS('Kasus Uji'!A2:A508,"Uji Ujung-ke-Ujung",'Kasus Uji'!G2:G508,"Gagal")</f>
        <v/>
      </c>
      <c r="E34" s="5">
        <f>COUNTIFS('Kasus Uji'!A2:A508,"Uji Ujung-ke-Ujung",'Kasus Uji'!G2:G508,"Terblokir")</f>
        <v/>
      </c>
      <c r="F34" s="5">
        <f>COUNTIFS('Kasus Uji'!A2:A508,"Uji Ujung-ke-Ujung",'Kasus Uji'!G2:G508,"Dilewati")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TC-PF-35</t>
        </is>
      </c>
      <c r="C331" s="18" t="inlineStr">
        <is>
          <t>P1</t>
        </is>
      </c>
      <c r="D331" s="16" t="inlineStr">
        <is>
          <t>Bandingkan Saldo Total di Saldo &amp; Pengeluaran dengan Jurnal GL KaataGo</t>
        </is>
      </c>
      <c r="E331" s="16" t="inlineStr">
        <is>
          <t>Angkanya sama persis</t>
        </is>
      </c>
      <c r="F331" s="16" t="inlineStr">
        <is>
          <t>F-PF-09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TC-PF-36</t>
        </is>
      </c>
      <c r="C332" s="15" t="inlineStr">
        <is>
          <t>P1</t>
        </is>
      </c>
      <c r="D332" s="13" t="inlineStr">
        <is>
          <t>Terbitkan voucher, muat ulang kedua layar</t>
        </is>
      </c>
      <c r="E332" s="13" t="inlineStr">
        <is>
          <t>Saldo Total tidak berubah — uangnya pindah kantong, bukan hilang</t>
        </is>
      </c>
      <c r="F332" s="13" t="inlineStr">
        <is>
          <t>F-PF-09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TC-PF-36b</t>
        </is>
      </c>
      <c r="C333" s="18" t="inlineStr">
        <is>
          <t>P1</t>
        </is>
      </c>
      <c r="D333" s="16" t="inlineStr">
        <is>
          <t>Voucher dipakai pelanggan di resto</t>
        </is>
      </c>
      <c r="E333" s="16" t="inlineStr">
        <is>
          <t>Saldo KaataGo berkurang sebesar nilai vouchernya</t>
        </is>
      </c>
      <c r="F333" s="16" t="inlineStr">
        <is>
          <t>F-PF-09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TC-PF-37</t>
        </is>
      </c>
      <c r="C334" s="19" t="inlineStr">
        <is>
          <t>P2</t>
        </is>
      </c>
      <c r="D334" s="13" t="inlineStr">
        <is>
          <t>Buka Saldo &amp; Pengeluaran untuk KaataGo</t>
        </is>
      </c>
      <c r="E334" s="13" t="inlineStr">
        <is>
          <t>Tidak ada kartu Saldo Cash / Non Cash</t>
        </is>
      </c>
      <c r="F334" s="13" t="inlineStr">
        <is>
          <t>F-PF-10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TC-PF-38</t>
        </is>
      </c>
      <c r="C335" s="20" t="inlineStr">
        <is>
          <t>P2</t>
        </is>
      </c>
      <c r="D335" s="16" t="inlineStr">
        <is>
          <t>Buka layar yang sama untuk resto biasa</t>
        </is>
      </c>
      <c r="E335" s="16" t="inlineStr">
        <is>
          <t>Kartu Cash/Non Cash tetap ada</t>
        </is>
      </c>
      <c r="F335" s="16" t="inlineStr">
        <is>
          <t>F-PF-10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TC-CB-01</t>
        </is>
      </c>
      <c r="C336" s="15" t="inlineStr">
        <is>
          <t>P1</t>
        </is>
      </c>
      <c r="D336" s="13" t="inlineStr">
        <is>
          <t>Izinkan lokasi, lihat daftar Terdekat</t>
        </is>
      </c>
      <c r="E336" s="13" t="inlineStr">
        <is>
          <t>Hanya resto ≤ 5 km yang muncul</t>
        </is>
      </c>
      <c r="F336" s="13" t="inlineStr">
        <is>
          <t>F-CB-01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TC-CB-02</t>
        </is>
      </c>
      <c r="C337" s="18" t="inlineStr">
        <is>
          <t>P1</t>
        </is>
      </c>
      <c r="D337" s="16" t="inlineStr">
        <is>
          <t>Resto berjarak 7 km</t>
        </is>
      </c>
      <c r="E337" s="16" t="inlineStr">
        <is>
          <t>Tidak di Terdekat, tapi ada di Semua Resto</t>
        </is>
      </c>
      <c r="F337" s="16" t="inlineStr">
        <is>
          <t>F-CB-01, F-CB-02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TC-CB-03</t>
        </is>
      </c>
      <c r="C338" s="19" t="inlineStr">
        <is>
          <t>P2</t>
        </is>
      </c>
      <c r="D338" s="13" t="inlineStr">
        <is>
          <t>Periksa keterangan di judul bagian Terdekat</t>
        </is>
      </c>
      <c r="E338" s="13" t="inlineStr">
        <is>
          <t>Tertulis "Dalam 5 km dari kamu"</t>
        </is>
      </c>
      <c r="F338" s="13" t="inlineStr">
        <is>
          <t>F-CB-01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TC-CB-04</t>
        </is>
      </c>
      <c r="C339" s="20" t="inlineStr">
        <is>
          <t>P2</t>
        </is>
      </c>
      <c r="D339" s="16" t="inlineStr">
        <is>
          <t>Tolak izin lokasi</t>
        </is>
      </c>
      <c r="E339" s="16" t="inlineStr">
        <is>
          <t>Bagian Terdekat tidak tampil; Semua Resto tetap ada</t>
        </is>
      </c>
      <c r="F339" s="16" t="inlineStr">
        <is>
          <t>F-CB-02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TC-TB-01</t>
        </is>
      </c>
      <c r="C340" s="15" t="inlineStr">
        <is>
          <t>P1</t>
        </is>
      </c>
      <c r="D340" s="13" t="inlineStr">
        <is>
          <t>Tablet, Kasir: ketuk sebuah menu</t>
        </is>
      </c>
      <c r="E340" s="13" t="inlineStr">
        <is>
          <t>Popup muncul di kiri; keranjang kanan tetap terbaca penuh</t>
        </is>
      </c>
      <c r="F340" s="13" t="inlineStr">
        <is>
          <t>F-TB-02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TC-TB-02</t>
        </is>
      </c>
      <c r="C341" s="18" t="inlineStr">
        <is>
          <t>P1</t>
        </is>
      </c>
      <c r="D341" s="16" t="inlineStr">
        <is>
          <t>Tablet, Kasir: ketuk ikon edit pada baris keranjang</t>
        </is>
      </c>
      <c r="E341" s="16" t="inlineStr">
        <is>
          <t>Popup editnya juga di kiri</t>
        </is>
      </c>
      <c r="F341" s="16" t="inlineStr">
        <is>
          <t>F-TB-02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TC-TB-03</t>
        </is>
      </c>
      <c r="C342" s="15" t="inlineStr">
        <is>
          <t>P1</t>
        </is>
      </c>
      <c r="D342" s="13" t="inlineStr">
        <is>
          <t>Tablet, Pelanggan: buka menu resto</t>
        </is>
      </c>
      <c r="E342" s="13" t="inlineStr">
        <is>
          <t>Keranjang tampil sebagai panel kanan</t>
        </is>
      </c>
      <c r="F342" s="13" t="inlineStr">
        <is>
          <t>F-TB-01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TC-TB-04</t>
        </is>
      </c>
      <c r="C343" s="18" t="inlineStr">
        <is>
          <t>P1</t>
        </is>
      </c>
      <c r="D343" s="16" t="inlineStr">
        <is>
          <t>Tablet, Pelanggan: ketuk sebuah menu</t>
        </is>
      </c>
      <c r="E343" s="16" t="inlineStr">
        <is>
          <t>Popup di kiri, panel keranjang tidak tertutup</t>
        </is>
      </c>
      <c r="F343" s="16" t="inlineStr">
        <is>
          <t>F-TB-02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TC-TB-05</t>
        </is>
      </c>
      <c r="C344" s="15" t="inlineStr">
        <is>
          <t>P1</t>
        </is>
      </c>
      <c r="D344" s="13" t="inlineStr">
        <is>
          <t>Tablet, Pelanggan: isi meja, pilih voucher, lalu bayar dari panel</t>
        </is>
      </c>
      <c r="E344" s="13" t="inlineStr">
        <is>
          <t>Berjalan sama persis dengan halaman keranjang</t>
        </is>
      </c>
      <c r="F344" s="13" t="inlineStr">
        <is>
          <t>F-TB-01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TC-TB-06</t>
        </is>
      </c>
      <c r="C345" s="20" t="inlineStr">
        <is>
          <t>P2</t>
        </is>
      </c>
      <c r="D345" s="16" t="inlineStr">
        <is>
          <t>Tablet: periksa bagian bawah layar</t>
        </is>
      </c>
      <c r="E345" s="16" t="inlineStr">
        <is>
          <t>Tidak ada bar keranjang</t>
        </is>
      </c>
      <c r="F345" s="16" t="inlineStr">
        <is>
          <t>F-TB-03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TC-TB-07</t>
        </is>
      </c>
      <c r="C346" s="15" t="inlineStr">
        <is>
          <t>P1</t>
        </is>
      </c>
      <c r="D346" s="13" t="inlineStr">
        <is>
          <t>HP: ketuk sebuah menu</t>
        </is>
      </c>
      <c r="E346" s="13" t="inlineStr">
        <is>
          <t>Popup tetap di tengah; keranjang tetap bar bawah</t>
        </is>
      </c>
      <c r="F346" s="13" t="inlineStr">
        <is>
          <t>F-TB-04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TC-TB-08</t>
        </is>
      </c>
      <c r="C347" s="20" t="inlineStr">
        <is>
          <t>P2</t>
        </is>
      </c>
      <c r="D347" s="16" t="inlineStr">
        <is>
          <t>Putar tablet ke potret sampai di bawah 1000px</t>
        </is>
      </c>
      <c r="E347" s="16" t="inlineStr">
        <is>
          <t>Kembali ke tata letak HP tanpa kehilangan isi keranjang</t>
        </is>
      </c>
      <c r="F347" s="16" t="inlineStr">
        <is>
          <t>F-TB-04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TC-TB-09</t>
        </is>
      </c>
      <c r="C348" s="15" t="inlineStr">
        <is>
          <t>P1</t>
        </is>
      </c>
      <c r="D348" s="13" t="inlineStr">
        <is>
          <t>Tablet melintang: buka checkout dari Kasir dengan 3 item</t>
        </is>
      </c>
      <c r="E348" s="13" t="inlineStr">
        <is>
          <t>Daftar itemnya terlihat; tidak ada yang terpotong</t>
        </is>
      </c>
      <c r="F348" s="13" t="inlineStr">
        <is>
          <t>F-TB-05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TC-TB-10</t>
        </is>
      </c>
      <c r="C349" s="18" t="inlineStr">
        <is>
          <t>P1</t>
        </is>
      </c>
      <c r="D349" s="16" t="inlineStr">
        <is>
          <t>Gulir sampai bawah di halaman itu</t>
        </is>
      </c>
      <c r="E349" s="16" t="inlineStr">
        <is>
          <t>Tombol bayarnya tercapai penuh</t>
        </is>
      </c>
      <c r="F349" s="16" t="inlineStr">
        <is>
          <t>F-TB-05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TC-TB-11</t>
        </is>
      </c>
      <c r="C350" s="15" t="inlineStr">
        <is>
          <t>P1</t>
        </is>
      </c>
      <c r="D350" s="13" t="inlineStr">
        <is>
          <t>Ulangi keduanya dari sisi Pelanggan</t>
        </is>
      </c>
      <c r="E350" s="13" t="inlineStr">
        <is>
          <t>Sama — keduanya diperbaiki, bukan salah satunya</t>
        </is>
      </c>
      <c r="F350" s="13" t="inlineStr">
        <is>
          <t>F-TB-05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TC-TB-12</t>
        </is>
      </c>
      <c r="C351" s="20" t="inlineStr">
        <is>
          <t>P2</t>
        </is>
      </c>
      <c r="D351" s="16" t="inlineStr">
        <is>
          <t>Buka menu sebagai Admin lalu Owner</t>
        </is>
      </c>
      <c r="E351" s="16" t="inlineStr">
        <is>
          <t>Sama persis dengan Kasir — satu layar yang sama</t>
        </is>
      </c>
      <c r="F351" s="16" t="inlineStr">
        <is>
          <t>F-TB-05, F-TB-06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TC-TB-13</t>
        </is>
      </c>
      <c r="C352" s="15" t="inlineStr">
        <is>
          <t>P1</t>
        </is>
      </c>
      <c r="D352" s="13" t="inlineStr">
        <is>
          <t>Buka daftar menu</t>
        </is>
      </c>
      <c r="E352" s="13" t="inlineStr">
        <is>
          <t>Semua kategori sudah terbuka</t>
        </is>
      </c>
      <c r="F352" s="13" t="inlineStr">
        <is>
          <t>F-TB-06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TC-TB-14</t>
        </is>
      </c>
      <c r="C353" s="20" t="inlineStr">
        <is>
          <t>P2</t>
        </is>
      </c>
      <c r="D353" s="16" t="inlineStr">
        <is>
          <t>Lipat satu kategori</t>
        </is>
      </c>
      <c r="E353" s="16" t="inlineStr">
        <is>
          <t>Tetap bisa dilipat</t>
        </is>
      </c>
      <c r="F353" s="16" t="inlineStr">
        <is>
          <t>F-TB-06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TC-TB-15</t>
        </is>
      </c>
      <c r="C354" s="15" t="inlineStr">
        <is>
          <t>P1</t>
        </is>
      </c>
      <c r="D354" s="13" t="inlineStr">
        <is>
          <t>Tablet: lihat banner promo</t>
        </is>
      </c>
      <c r="E354" s="13" t="inlineStr">
        <is>
          <t>Tingginya di bawah 45% layar, tidak mendorong menu keluar</t>
        </is>
      </c>
      <c r="F354" s="13" t="inlineStr">
        <is>
          <t>F-TB-07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TC-TB-16</t>
        </is>
      </c>
      <c r="C355" s="20" t="inlineStr">
        <is>
          <t>P2</t>
        </is>
      </c>
      <c r="D355" s="16" t="inlineStr">
        <is>
          <t>Pasang banner yang bukan 16:9</t>
        </is>
      </c>
      <c r="E355" s="16" t="inlineStr">
        <is>
          <t>Kotaknya mengikuti gambar; tidak ada pita kabur di sisinya</t>
        </is>
      </c>
      <c r="F355" s="16" t="inlineStr">
        <is>
          <t>F-TB-07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TC-TB-17</t>
        </is>
      </c>
      <c r="C356" s="19" t="inlineStr">
        <is>
          <t>P2</t>
        </is>
      </c>
      <c r="D356" s="13" t="inlineStr">
        <is>
          <t>Pasang banner potret ekstrem</t>
        </is>
      </c>
      <c r="E356" s="13" t="inlineStr">
        <is>
          <t>Dijepit — tidak mengambil alih halaman menu</t>
        </is>
      </c>
      <c r="F356" s="13" t="inlineStr">
        <is>
          <t>F-TB-07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TC-TB-18</t>
        </is>
      </c>
      <c r="C357" s="18" t="inlineStr">
        <is>
          <t>P1</t>
        </is>
      </c>
      <c r="D357" s="16" t="inlineStr">
        <is>
          <t>Buka Info Resto lalu gulir</t>
        </is>
      </c>
      <c r="E357" s="16" t="inlineStr">
        <is>
          <t>"Nama Resto" tidak terpotong di tepi atas</t>
        </is>
      </c>
      <c r="F357" s="16" t="inlineStr">
        <is>
          <t>F-TB-08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TC-TB-19</t>
        </is>
      </c>
      <c r="C358" s="15" t="inlineStr">
        <is>
          <t>P1</t>
        </is>
      </c>
      <c r="D358" s="13" t="inlineStr">
        <is>
          <t>Simpan Info Resto</t>
        </is>
      </c>
      <c r="E358" s="13" t="inlineStr">
        <is>
          <t>Nama restonya tidak berubah dan tidak kosong</t>
        </is>
      </c>
      <c r="F358" s="13" t="inlineStr">
        <is>
          <t>F-TB-08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TC-TB-20</t>
        </is>
      </c>
      <c r="C359" s="20" t="inlineStr">
        <is>
          <t>P2</t>
        </is>
      </c>
      <c r="D359" s="16" t="inlineStr">
        <is>
          <t>Baca keterangan di bawah nama resto</t>
        </is>
      </c>
      <c r="E359" s="16" t="inlineStr">
        <is>
          <t>Menyebut KaataGo Admin dan cara menghubunginya</t>
        </is>
      </c>
      <c r="F359" s="16" t="inlineStr">
        <is>
          <t>F-TB-08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TC-TU-01</t>
        </is>
      </c>
      <c r="C360" s="15" t="inlineStr">
        <is>
          <t>P1</t>
        </is>
      </c>
      <c r="D360" s="13" t="inlineStr">
        <is>
          <t>Owner → Saldo &amp; Pengeluaran → Top Up Saldo</t>
        </is>
      </c>
      <c r="E360" s="13" t="inlineStr">
        <is>
          <t>Tersimpan; Saldo Total naik sebesar nominalnya</t>
        </is>
      </c>
      <c r="F360" s="13" t="inlineStr">
        <is>
          <t>F-TU-01, F-TU-02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TC-TU-01b</t>
        </is>
      </c>
      <c r="C361" s="18" t="inlineStr">
        <is>
          <t>P1</t>
        </is>
      </c>
      <c r="D361" s="16" t="inlineStr">
        <is>
          <t>Super Admin top up, periksa Saldo Total KaataGo</t>
        </is>
      </c>
      <c r="E361" s="16" t="inlineStr">
        <is>
          <t>Naik sebesar nominalnya — bukan tetap</t>
        </is>
      </c>
      <c r="F361" s="16" t="inlineStr">
        <is>
          <t>F-TU-02, F-TU-05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TC-TU-02</t>
        </is>
      </c>
      <c r="C362" s="15" t="inlineStr">
        <is>
          <t>P1</t>
        </is>
      </c>
      <c r="D362" s="13" t="inlineStr">
        <is>
          <t>Periksa Jurnal GL sesudahnya</t>
        </is>
      </c>
      <c r="E362" s="13" t="inlineStr">
        <is>
          <t>Satu baris kredit ke GL Setoran Modal</t>
        </is>
      </c>
      <c r="F362" s="13" t="inlineStr">
        <is>
          <t>F-TU-05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TC-TU-03</t>
        </is>
      </c>
      <c r="C363" s="18" t="inlineStr">
        <is>
          <t>P1</t>
        </is>
      </c>
      <c r="D363" s="16" t="inlineStr">
        <is>
          <t>Periksa Laporan Transaksi / Pemasukan</t>
        </is>
      </c>
      <c r="E363" s="16" t="inlineStr">
        <is>
          <t>Setoran tidak muncul sebagai penjualan</t>
        </is>
      </c>
      <c r="F363" s="16" t="inlineStr">
        <is>
          <t>F-TU-02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TC-TU-04</t>
        </is>
      </c>
      <c r="C364" s="15" t="inlineStr">
        <is>
          <t>P1</t>
        </is>
      </c>
      <c r="D364" s="13" t="inlineStr">
        <is>
          <t>Simpan tanpa mengisi Dari</t>
        </is>
      </c>
      <c r="E364" s="13" t="inlineStr">
        <is>
          <t>Ditolak — "Sebutkan penyetornya"</t>
        </is>
      </c>
      <c r="F364" s="13" t="inlineStr">
        <is>
          <t>F-TU-03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TC-TU-05</t>
        </is>
      </c>
      <c r="C365" s="20" t="inlineStr">
        <is>
          <t>P2</t>
        </is>
      </c>
      <c r="D365" s="16" t="inlineStr">
        <is>
          <t>Simpan tanpa bukti</t>
        </is>
      </c>
      <c r="E365" s="16" t="inlineStr">
        <is>
          <t>Tetap tersimpan — buktinya opsional</t>
        </is>
      </c>
      <c r="F365" s="16" t="inlineStr">
        <is>
          <t>F-TU-03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TC-TU-06</t>
        </is>
      </c>
      <c r="C366" s="15" t="inlineStr">
        <is>
          <t>P1</t>
        </is>
      </c>
      <c r="D366" s="13" t="inlineStr">
        <is>
          <t>Masuk sebagai Kasir, buka layar yang sama</t>
        </is>
      </c>
      <c r="E366" s="13" t="inlineStr">
        <is>
          <t>Riwayat terlihat, tombol Top Up Saldo tidak ada</t>
        </is>
      </c>
      <c r="F366" s="13" t="inlineStr">
        <is>
          <t>F-TU-04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TC-TU-07</t>
        </is>
      </c>
      <c r="C367" s="18" t="inlineStr">
        <is>
          <t>P1</t>
        </is>
      </c>
      <c r="D367" s="16" t="inlineStr">
        <is>
          <t>Kasir memanggil insert balance_topups lewat API</t>
        </is>
      </c>
      <c r="E367" s="16" t="inlineStr">
        <is>
          <t>Ditolak RLS</t>
        </is>
      </c>
      <c r="F367" s="16" t="inlineStr">
        <is>
          <t>F-TU-04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TC-TU-08</t>
        </is>
      </c>
      <c r="C368" s="15" t="inlineStr">
        <is>
          <t>P1</t>
        </is>
      </c>
      <c r="D368" s="13" t="inlineStr">
        <is>
          <t>Super Admin → Finance → Saldo &amp; Pengeluaran → Top Up</t>
        </is>
      </c>
      <c r="E368" s="13" t="inlineStr">
        <is>
          <t>Saldo KaataGo naik; Jurnal GL KaataGo mencatatnya</t>
        </is>
      </c>
      <c r="F368" s="13" t="inlineStr">
        <is>
          <t>F-TU-01, F-TU-05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TC-TU-09</t>
        </is>
      </c>
      <c r="C369" s="18" t="inlineStr">
        <is>
          <t>P1</t>
        </is>
      </c>
      <c r="D369" s="16" t="inlineStr">
        <is>
          <t>Coba ubah atau hapus baris balance_topups</t>
        </is>
      </c>
      <c r="E369" s="16" t="inlineStr">
        <is>
          <t>Ditolak — tidak ada kebijakannya</t>
        </is>
      </c>
      <c r="F369" s="16" t="inlineStr">
        <is>
          <t>F-TU-06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TC-TU-10</t>
        </is>
      </c>
      <c r="C370" s="19" t="inlineStr">
        <is>
          <t>P2</t>
        </is>
      </c>
      <c r="D370" s="13" t="inlineStr">
        <is>
          <t>Periksa kartu Cash / Non Cash sesudah top up</t>
        </is>
      </c>
      <c r="E370" s="13" t="inlineStr">
        <is>
          <t>Non Cash naik; keduanya tetap berjumlah sama dengan Penghasilan</t>
        </is>
      </c>
      <c r="F370" s="13" t="inlineStr">
        <is>
          <t>F-TU-02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TC-TU-11</t>
        </is>
      </c>
      <c r="C371" s="20" t="inlineStr">
        <is>
          <t>P2</t>
        </is>
      </c>
      <c r="D371" s="16" t="inlineStr">
        <is>
          <t>Buka Pemetaan GL sebagai Finance resto</t>
        </is>
      </c>
      <c r="E371" s="16" t="inlineStr">
        <is>
          <t>Ada bagian GL Modal</t>
        </is>
      </c>
      <c r="F371" s="16" t="inlineStr">
        <is>
          <t>F-TU-02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TC-TU-12</t>
        </is>
      </c>
      <c r="C372" s="19" t="inlineStr">
        <is>
          <t>P2</t>
        </is>
      </c>
      <c r="D372" s="13" t="inlineStr">
        <is>
          <t>Buka halaman awal aplikasi</t>
        </is>
      </c>
      <c r="E372" s="13" t="inlineStr">
        <is>
          <t>Tombolnya bertuliskan KaataGo Merchant</t>
        </is>
      </c>
      <c r="F372" s="13" t="inlineStr">
        <is>
          <t>—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TC-VC-01</t>
        </is>
      </c>
      <c r="C373" s="18" t="inlineStr">
        <is>
          <t>P1</t>
        </is>
      </c>
      <c r="D373" s="16" t="inlineStr">
        <is>
          <t>Super Admin → Voucher → terbitkan Rp 1.000.000 jadi 10</t>
        </is>
      </c>
      <c r="E373" s="16" t="inlineStr">
        <is>
          <t>10 voucher @Rp 100.000; nominalnya tampil hidup di formulir</t>
        </is>
      </c>
      <c r="F373" s="16" t="inlineStr">
        <is>
          <t>F-VC-01, F-VC-02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TC-VC-02</t>
        </is>
      </c>
      <c r="C374" s="15" t="inlineStr">
        <is>
          <t>P1</t>
        </is>
      </c>
      <c r="D374" s="13" t="inlineStr">
        <is>
          <t>Terbitkan Rp 1.000.000 jadi 3</t>
        </is>
      </c>
      <c r="E374" s="13" t="inlineStr">
        <is>
          <t>@Rp 333.333, sisa Rp 1 disebutkan dan tidak ikut dijurnal</t>
        </is>
      </c>
      <c r="F374" s="13" t="inlineStr">
        <is>
          <t>F-VC-02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TC-VC-03</t>
        </is>
      </c>
      <c r="C375" s="20" t="inlineStr">
        <is>
          <t>P2</t>
        </is>
      </c>
      <c r="D375" s="16" t="inlineStr">
        <is>
          <t>Terbitkan dengan kode yang sudah dipakai</t>
        </is>
      </c>
      <c r="E375" s="16" t="inlineStr">
        <is>
          <t>Ditolak — kodenya sudah ada</t>
        </is>
      </c>
      <c r="F375" s="16" t="inlineStr">
        <is>
          <t>F-VC-01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TC-VC-04</t>
        </is>
      </c>
      <c r="C376" s="15" t="inlineStr">
        <is>
          <t>P1</t>
        </is>
      </c>
      <c r="D376" s="13" t="inlineStr">
        <is>
          <t>Periksa Jurnal GL KaataGo sesudah terbit</t>
        </is>
      </c>
      <c r="E376" s="13" t="inlineStr">
        <is>
          <t>Debit Total Saldo 1100040, kredit Voucher 1100073</t>
        </is>
      </c>
      <c r="F376" s="13" t="inlineStr">
        <is>
          <t>F-VC-13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TC-VC-05</t>
        </is>
      </c>
      <c r="C377" s="18" t="inlineStr">
        <is>
          <t>P1</t>
        </is>
      </c>
      <c r="D377" s="16" t="inlineStr">
        <is>
          <t>Pelanggan menebus kode di Voucher Saya</t>
        </is>
      </c>
      <c r="E377" s="16" t="inlineStr">
        <is>
          <t>Berhasil; voucher masuk daftar "Siap Dipakai"</t>
        </is>
      </c>
      <c r="F377" s="16" t="inlineStr">
        <is>
          <t>F-VC-07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TC-VC-06</t>
        </is>
      </c>
      <c r="C378" s="19" t="inlineStr">
        <is>
          <t>P2</t>
        </is>
      </c>
      <c r="D378" s="13" t="inlineStr">
        <is>
          <t>Ketik kodenya dengan huruf kecil</t>
        </is>
      </c>
      <c r="E378" s="13" t="inlineStr">
        <is>
          <t>Tetap diterima</t>
        </is>
      </c>
      <c r="F378" s="13" t="inlineStr">
        <is>
          <t>F-VC-07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TC-VC-07</t>
        </is>
      </c>
      <c r="C379" s="20" t="inlineStr">
        <is>
          <t>P2</t>
        </is>
      </c>
      <c r="D379" s="16" t="inlineStr">
        <is>
          <t>Ketik kode yang tidak ada</t>
        </is>
      </c>
      <c r="E379" s="16" t="inlineStr">
        <is>
          <t>"Kode voucher tidak ditemukan"</t>
        </is>
      </c>
      <c r="F379" s="16" t="inlineStr">
        <is>
          <t>F-VC-10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TC-VC-08</t>
        </is>
      </c>
      <c r="C380" s="15" t="inlineStr">
        <is>
          <t>P1</t>
        </is>
      </c>
      <c r="D380" s="13" t="inlineStr">
        <is>
          <t>Periksa Jurnal GL KaataGo sesudah ditebus</t>
        </is>
      </c>
      <c r="E380" s="13" t="inlineStr">
        <is>
          <t>Debit Voucher, kredit Voucher Redeem 1100074</t>
        </is>
      </c>
      <c r="F380" s="13" t="inlineStr">
        <is>
          <t>F-VC-13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TC-VC-09</t>
        </is>
      </c>
      <c r="C381" s="18" t="inlineStr">
        <is>
          <t>P1</t>
        </is>
      </c>
      <c r="D381" s="16" t="inlineStr">
        <is>
          <t>Orang yang sama menebus kode itu lagi</t>
        </is>
      </c>
      <c r="E381" s="16" t="inlineStr">
        <is>
          <t>Ditolak — "Voucher ini sudah kamu tebus"</t>
        </is>
      </c>
      <c r="F381" s="16" t="inlineStr">
        <is>
          <t>F-VC-08, F-VC-10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TC-VC-10</t>
        </is>
      </c>
      <c r="C382" s="15" t="inlineStr">
        <is>
          <t>P1</t>
        </is>
      </c>
      <c r="D382" s="13" t="inlineStr">
        <is>
          <t>Batch berisi 10, orang ke-11 menebus</t>
        </is>
      </c>
      <c r="E382" s="13" t="inlineStr">
        <is>
          <t>Ditolak — "Voucher ini sudah habis"</t>
        </is>
      </c>
      <c r="F382" s="13" t="inlineStr">
        <is>
          <t>F-VC-09, F-VC-10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TC-VC-11</t>
        </is>
      </c>
      <c r="C383" s="18" t="inlineStr">
        <is>
          <t>P1</t>
        </is>
      </c>
      <c r="D383" s="16" t="inlineStr">
        <is>
          <t>Dua orang menebus voucher terakhir bersamaan</t>
        </is>
      </c>
      <c r="E383" s="16" t="inlineStr">
        <is>
          <t>Hanya satu lolos; yang lain ditolak kuota habis</t>
        </is>
      </c>
      <c r="F383" s="16" t="inlineStr">
        <is>
          <t>F-VC-09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TC-VC-12</t>
        </is>
      </c>
      <c r="C384" s="19" t="inlineStr">
        <is>
          <t>P2</t>
        </is>
      </c>
      <c r="D384" s="13" t="inlineStr">
        <is>
          <t>Tebus voucher dari batch yang sudah ditutup</t>
        </is>
      </c>
      <c r="E384" s="13" t="inlineStr">
        <is>
          <t>"Voucher ini sudah ditutup"</t>
        </is>
      </c>
      <c r="F384" s="13" t="inlineStr">
        <is>
          <t>F-VC-04, F-VC-10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TC-VC-13</t>
        </is>
      </c>
      <c r="C385" s="20" t="inlineStr">
        <is>
          <t>P2</t>
        </is>
      </c>
      <c r="D385" s="16" t="inlineStr">
        <is>
          <t>Tebus voucher yang lewat masa berlaku</t>
        </is>
      </c>
      <c r="E385" s="16" t="inlineStr">
        <is>
          <t>"Voucher ini sudah kedaluwarsa"</t>
        </is>
      </c>
      <c r="F385" s="16" t="inlineStr">
        <is>
          <t>F-VC-04, F-VC-10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TC-VC-14</t>
        </is>
      </c>
      <c r="C386" s="15" t="inlineStr">
        <is>
          <t>P1</t>
        </is>
      </c>
      <c r="D386" s="13" t="inlineStr">
        <is>
          <t>Di keranjang, ketuk baris voucher</t>
        </is>
      </c>
      <c r="E386" s="13" t="inlineStr">
        <is>
          <t>Muncul pilihan voucher miliknya, bukan kolom ketik kode</t>
        </is>
      </c>
      <c r="F386" s="13" t="inlineStr">
        <is>
          <t>F-VC-11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TC-VC-15</t>
        </is>
      </c>
      <c r="C387" s="18" t="inlineStr">
        <is>
          <t>P1</t>
        </is>
      </c>
      <c r="D387" s="16" t="inlineStr">
        <is>
          <t>Voucher min belanja Rp 50.000, tagihan Rp 30.000</t>
        </is>
      </c>
      <c r="E387" s="16" t="inlineStr">
        <is>
          <t>Tidak bisa dipilih, disertai "Belanja belum mencapai minimum"</t>
        </is>
      </c>
      <c r="F387" s="16" t="inlineStr">
        <is>
          <t>F-VC-05, F-VC-10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TC-VC-16</t>
        </is>
      </c>
      <c r="C388" s="15" t="inlineStr">
        <is>
          <t>P1</t>
        </is>
      </c>
      <c r="D388" s="13" t="inlineStr">
        <is>
          <t>Voucher khusus resto A dibuka di resto B</t>
        </is>
      </c>
      <c r="E388" s="13" t="inlineStr">
        <is>
          <t>Tidak bisa dipilih — "Tidak berlaku di resto ini"</t>
        </is>
      </c>
      <c r="F388" s="13" t="inlineStr">
        <is>
          <t>F-VC-06, F-VC-10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TC-VC-17</t>
        </is>
      </c>
      <c r="C389" s="18" t="inlineStr">
        <is>
          <t>P1</t>
        </is>
      </c>
      <c r="D389" s="16" t="inlineStr">
        <is>
          <t>Voucher Rp 100.000 pada tagihan Rp 60.000</t>
        </is>
      </c>
      <c r="E389" s="16" t="inlineStr">
        <is>
          <t>Yang dibayar Rp 0; sisa Rp 40.000 tidak dikembalikan</t>
        </is>
      </c>
      <c r="F389" s="16" t="inlineStr">
        <is>
          <t>F-VC-12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TC-VC-18</t>
        </is>
      </c>
      <c r="C390" s="15" t="inlineStr">
        <is>
          <t>P1</t>
        </is>
      </c>
      <c r="D390" s="13" t="inlineStr">
        <is>
          <t>Pasang voucher lalu selesaikan pesanan</t>
        </is>
      </c>
      <c r="E390" s="13" t="inlineStr">
        <is>
          <t>Yang dibayar sudah dipotong; nominal QRIS-nya juga</t>
        </is>
      </c>
      <c r="F390" s="13" t="inlineStr">
        <is>
          <t>F-VC-11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TC-VC-19</t>
        </is>
      </c>
      <c r="C391" s="18" t="inlineStr">
        <is>
          <t>P1</t>
        </is>
      </c>
      <c r="D391" s="16" t="inlineStr">
        <is>
          <t>Ketuk Lepas setelah voucher terpasang</t>
        </is>
      </c>
      <c r="E391" s="16" t="inlineStr">
        <is>
          <t>Tagihan kembali ke nominal semula</t>
        </is>
      </c>
      <c r="F391" s="16" t="inlineStr">
        <is>
          <t>F-VC-11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TC-VC-20</t>
        </is>
      </c>
      <c r="C392" s="15" t="inlineStr">
        <is>
          <t>P1</t>
        </is>
      </c>
      <c r="D392" s="13" t="inlineStr">
        <is>
          <t>Periksa Jurnal GL KaataGo sesudah dipakai</t>
        </is>
      </c>
      <c r="E392" s="13" t="inlineStr">
        <is>
          <t>Debit Voucher Redeem, kredit GL Transfer restonya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TC-VC-21</t>
        </is>
      </c>
      <c r="C393" s="18" t="inlineStr">
        <is>
          <t>P1</t>
        </is>
      </c>
      <c r="D393" s="16" t="inlineStr">
        <is>
          <t>Periksa Jurnal GL restonya</t>
        </is>
      </c>
      <c r="E393" s="16" t="inlineStr">
        <is>
          <t>Ada baris masuk sebesar nilai vouchernya</t>
        </is>
      </c>
      <c r="F393" s="16" t="inlineStr">
        <is>
          <t>F-VC-13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TC-VC-22</t>
        </is>
      </c>
      <c r="C394" s="19" t="inlineStr">
        <is>
          <t>P2</t>
        </is>
      </c>
      <c r="D394" s="13" t="inlineStr">
        <is>
          <t>Voucher yang sudah dipakai dibuka lagi di keranjang</t>
        </is>
      </c>
      <c r="E394" s="13" t="inlineStr">
        <is>
          <t>Tidak muncul di daftar pilihan</t>
        </is>
      </c>
      <c r="F394" s="13" t="inlineStr">
        <is>
          <t>F-VC-11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TC-VC-23</t>
        </is>
      </c>
      <c r="C395" s="18" t="inlineStr">
        <is>
          <t>P1</t>
        </is>
      </c>
      <c r="D395" s="16" t="inlineStr">
        <is>
          <t>Jalankan expire_vouchers() — ada klaim tak terpakai</t>
        </is>
      </c>
      <c r="E395" s="16" t="inlineStr">
        <is>
          <t>Debit Voucher Redeem, kredit Total Saldo</t>
        </is>
      </c>
      <c r="F395" s="16" t="inlineStr">
        <is>
          <t>F-VC-14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TC-VC-24</t>
        </is>
      </c>
      <c r="C396" s="15" t="inlineStr">
        <is>
          <t>P1</t>
        </is>
      </c>
      <c r="D396" s="13" t="inlineStr">
        <is>
          <t>Batch kedaluwarsa dengan sisa kuota tak tertebus</t>
        </is>
      </c>
      <c r="E396" s="13" t="inlineStr">
        <is>
          <t>Debit Voucher, kredit Total Saldo sebesar sisanya</t>
        </is>
      </c>
      <c r="F396" s="13" t="inlineStr">
        <is>
          <t>F-VC-14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TC-VC-25</t>
        </is>
      </c>
      <c r="C397" s="18" t="inlineStr">
        <is>
          <t>P1</t>
        </is>
      </c>
      <c r="D397" s="16" t="inlineStr">
        <is>
          <t>Jalankan expire_vouchers() dua kali</t>
        </is>
      </c>
      <c r="E397" s="16" t="inlineStr">
        <is>
          <t>Pengembaliannya sekali saja — dijaga settled_at</t>
        </is>
      </c>
      <c r="F397" s="16" t="inlineStr">
        <is>
          <t>F-VC-14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TC-VC-26</t>
        </is>
      </c>
      <c r="C398" s="15" t="inlineStr">
        <is>
          <t>P1</t>
        </is>
      </c>
      <c r="D398" s="13" t="inlineStr">
        <is>
          <t>Jumlahkan keempat tahap untuk satu batch</t>
        </is>
      </c>
      <c r="E398" s="13" t="inlineStr">
        <is>
          <t>Debit dan kreditnya seimbang; tidak ada dana yang hilang</t>
        </is>
      </c>
      <c r="F398" s="13" t="inlineStr">
        <is>
          <t>F-VC-13, F-VC-14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TC-VC-27</t>
        </is>
      </c>
      <c r="C399" s="18" t="inlineStr">
        <is>
          <t>P1</t>
        </is>
      </c>
      <c r="D399" s="16" t="inlineStr">
        <is>
          <t>Tulis langsung ke voucher_claims lewat API</t>
        </is>
      </c>
      <c r="E399" s="16" t="inlineStr">
        <is>
          <t>Ditolak RLS — tidak ada kebijakan tulis untuk siapa pun</t>
        </is>
      </c>
      <c r="F399" s="16" t="inlineStr">
        <is>
          <t>F-VC-13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TC-VC-28</t>
        </is>
      </c>
      <c r="C400" s="15" t="inlineStr">
        <is>
          <t>P1</t>
        </is>
      </c>
      <c r="D400" s="13" t="inlineStr">
        <is>
          <t>Panggil generate_voucher_batch sebagai bukan Super Admin</t>
        </is>
      </c>
      <c r="E400" s="13" t="inlineStr">
        <is>
          <t>Ditolak — "Hanya Super Admin yang dapat menerbitkan voucher"</t>
        </is>
      </c>
      <c r="F400" s="13" t="inlineStr">
        <is>
          <t>F-VC-01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TC-VC-29</t>
        </is>
      </c>
      <c r="C401" s="20" t="inlineStr">
        <is>
          <t>P2</t>
        </is>
      </c>
      <c r="D401" s="16" t="inlineStr">
        <is>
          <t>Periksa kartu batch di layar Super Admin</t>
        </is>
      </c>
      <c r="E401" s="16" t="inlineStr">
        <is>
          <t>Sisa kuota dan nilai menggantung cocok dengan penebusnya</t>
        </is>
      </c>
      <c r="F401" s="16" t="inlineStr">
        <is>
          <t>F-VC-15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TC-VC-30</t>
        </is>
      </c>
      <c r="C402" s="19" t="inlineStr">
        <is>
          <t>P2</t>
        </is>
      </c>
      <c r="D402" s="13" t="inlineStr">
        <is>
          <t>Tutup sebuah batch yang kuotanya masih ada</t>
        </is>
      </c>
      <c r="E402" s="13" t="inlineStr">
        <is>
          <t>Tidak bisa ditebus lagi; yang sudah ditebus tetap bisa dipakai</t>
        </is>
      </c>
      <c r="F402" s="13" t="inlineStr">
        <is>
          <t>F-VC-04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TC-VC-31</t>
        </is>
      </c>
      <c r="C403" s="18" t="inlineStr">
        <is>
          <t>P1</t>
        </is>
      </c>
      <c r="D403" s="16" t="inlineStr">
        <is>
          <t>Pakai voucher, lalu periksa tabel voucher_payouts</t>
        </is>
      </c>
      <c r="E403" s="16" t="inlineStr">
        <is>
          <t>Muncul satu baris pending sebesar nilai vouchernya</t>
        </is>
      </c>
      <c r="F403" s="16" t="inlineStr">
        <is>
          <t>F-VC-16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TC-VC-32</t>
        </is>
      </c>
      <c r="C404" s="15" t="inlineStr">
        <is>
          <t>P1</t>
        </is>
      </c>
      <c r="D404" s="13" t="inlineStr">
        <is>
          <t>Jalankan settle-voucher-payouts</t>
        </is>
      </c>
      <c r="E404" s="13" t="inlineStr">
        <is>
          <t>Status jadi sent, transfer_id terisi, saldo sub-akun resto bertambah</t>
        </is>
      </c>
      <c r="F404" s="13" t="inlineStr">
        <is>
          <t>F-VC-16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TC-VC-33</t>
        </is>
      </c>
      <c r="C405" s="18" t="inlineStr">
        <is>
          <t>P1</t>
        </is>
      </c>
      <c r="D405" s="16" t="inlineStr">
        <is>
          <t>Jalankan fungsinya dua kali berturut-turut</t>
        </is>
      </c>
      <c r="E405" s="16" t="inlineStr">
        <is>
          <t>Uangnya berpindah sekali; yang kedua duplikat dan tetap sent</t>
        </is>
      </c>
      <c r="F405" s="16" t="inlineStr">
        <is>
          <t>F-VC-18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TC-VC-34</t>
        </is>
      </c>
      <c r="C406" s="15" t="inlineStr">
        <is>
          <t>P1</t>
        </is>
      </c>
      <c r="D406" s="13" t="inlineStr">
        <is>
          <t>Matikan Xendit (kunci salah), lalu jalankan</t>
        </is>
      </c>
      <c r="E406" s="13" t="inlineStr">
        <is>
          <t>Status failed, last_error menyebut sebabnya, attempts naik</t>
        </is>
      </c>
      <c r="F406" s="13" t="inlineStr">
        <is>
          <t>F-VC-17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TC-VC-35</t>
        </is>
      </c>
      <c r="C407" s="18" t="inlineStr">
        <is>
          <t>P1</t>
        </is>
      </c>
      <c r="D407" s="16" t="inlineStr">
        <is>
          <t>Perbaiki kuncinya lalu jalankan lagi</t>
        </is>
      </c>
      <c r="E407" s="16" t="inlineStr">
        <is>
          <t>Baris yang tadi gagal terkirim</t>
        </is>
      </c>
      <c r="F407" s="16" t="inlineStr">
        <is>
          <t>F-VC-17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TC-VC-36</t>
        </is>
      </c>
      <c r="C408" s="15" t="inlineStr">
        <is>
          <t>P1</t>
        </is>
      </c>
      <c r="D408" s="13" t="inlineStr">
        <is>
          <t>Pakai voucher di resto yang belum punya sub-akun</t>
        </is>
      </c>
      <c r="E408" s="13" t="inlineStr">
        <is>
          <t>Tetap pending, attempts tidak naik, tidak hilang</t>
        </is>
      </c>
      <c r="F408" s="13" t="inlineStr">
        <is>
          <t>F-VC-19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TC-VC-37</t>
        </is>
      </c>
      <c r="C409" s="18" t="inlineStr">
        <is>
          <t>P1</t>
        </is>
      </c>
      <c r="D409" s="16" t="inlineStr">
        <is>
          <t>Buat pesanan bervoucher saat Xendit mati total</t>
        </is>
      </c>
      <c r="E409" s="16" t="inlineStr">
        <is>
          <t>Pesanannya tetap tersimpan dan masuk dapur</t>
        </is>
      </c>
      <c r="F409" s="16" t="inlineStr">
        <is>
          <t>F-VC-17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TC-VC-38</t>
        </is>
      </c>
      <c r="C410" s="19" t="inlineStr">
        <is>
          <t>P2</t>
        </is>
      </c>
      <c r="D410" s="13" t="inlineStr">
        <is>
          <t>Jalankan voucher_payouts.sql di basis data yang sudah ada pemakaian</t>
        </is>
      </c>
      <c r="E410" s="13" t="inlineStr">
        <is>
          <t>Klaim used lama ikut terantre</t>
        </is>
      </c>
      <c r="F410" s="13" t="inlineStr">
        <is>
          <t>F-VC-16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TC-VC-39</t>
        </is>
      </c>
      <c r="C411" s="18" t="inlineStr">
        <is>
          <t>P1</t>
        </is>
      </c>
      <c r="D411" s="16" t="inlineStr">
        <is>
          <t>Tulis langsung ke voucher_payouts lewat API</t>
        </is>
      </c>
      <c r="E411" s="16" t="inlineStr">
        <is>
          <t>Ditolak — tidak ada kebijakan tulis untuk siapa pun</t>
        </is>
      </c>
      <c r="F411" s="16" t="inlineStr">
        <is>
          <t>F-VC-18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TC-VC-40</t>
        </is>
      </c>
      <c r="C412" s="19" t="inlineStr">
        <is>
          <t>P2</t>
        </is>
      </c>
      <c r="D412" s="13" t="inlineStr">
        <is>
          <t>Baca voucher_payout_config sebagai Super Admin</t>
        </is>
      </c>
      <c r="E412" s="13" t="inlineStr">
        <is>
          <t>Kosong — kunci layanan tidak terbaca peran mana pun</t>
        </is>
      </c>
      <c r="F412" s="13" t="inlineStr">
        <is>
          <t>F-VC-16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TC-VC-41</t>
        </is>
      </c>
      <c r="C413" s="20" t="inlineStr">
        <is>
          <t>P2</t>
        </is>
      </c>
      <c r="D413" s="16" t="inlineStr">
        <is>
          <t>Jalankan penjadwal sebelum function_url diisi</t>
        </is>
      </c>
      <c r="E413" s="16" t="inlineStr">
        <is>
          <t>Berjalan tanpa melakukan apa-apa, tanpa galat</t>
        </is>
      </c>
      <c r="F413" s="16" t="inlineStr">
        <is>
          <t>F-VC-17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TC-VC-42</t>
        </is>
      </c>
      <c r="C414" s="15" t="inlineStr">
        <is>
          <t>P1</t>
        </is>
      </c>
      <c r="D414" s="13" t="inlineStr">
        <is>
          <t>Bandingkan total sent dengan mutasi transfer di dashboard Xendit</t>
        </is>
      </c>
      <c r="E414" s="13" t="inlineStr">
        <is>
          <t>Cocok baris per baris lewat transfer_id</t>
        </is>
      </c>
      <c r="F414" s="13" t="inlineStr">
        <is>
          <t>F-VC-16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TC-VC-43</t>
        </is>
      </c>
      <c r="C415" s="18" t="inlineStr">
        <is>
          <t>P1</t>
        </is>
      </c>
      <c r="D415" s="16" t="inlineStr">
        <is>
          <t>Jalankan pencairan saat xenPlatform belum aktif</t>
        </is>
      </c>
      <c r="E415" s="16" t="inlineStr">
        <is>
          <t>Seluruh antrean tetap pending, attempts nol, tidak ada galat</t>
        </is>
      </c>
      <c r="F415" s="16" t="inlineStr">
        <is>
          <t>F-VC-19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TC-VC-44</t>
        </is>
      </c>
      <c r="C416" s="19" t="inlineStr">
        <is>
          <t>P2</t>
        </is>
      </c>
      <c r="D416" s="13" t="inlineStr">
        <is>
          <t>Aktifkan xenPlatform + pasang sub-akun, lalu tunggu penjadwal</t>
        </is>
      </c>
      <c r="E416" s="13" t="inlineStr">
        <is>
          <t>Tunggakan lama ikut terangkut tanpa dijalankan ulang manual</t>
        </is>
      </c>
      <c r="F416" s="13" t="inlineStr">
        <is>
          <t>F-VC-16, F-VC-17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TC-VC-45</t>
        </is>
      </c>
      <c r="C417" s="18" t="inlineStr">
        <is>
          <t>P1</t>
        </is>
      </c>
      <c r="D417" s="16" t="inlineStr">
        <is>
          <t>Super Admin → Finance → Pemetaan GL</t>
        </is>
      </c>
      <c r="E417" s="16" t="inlineStr">
        <is>
          <t>Ada bagian GL Voucher berisi GL Voucher dan GL Voucher Redeem</t>
        </is>
      </c>
      <c r="F417" s="16" t="inlineStr">
        <is>
          <t>F-VC-13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TC-VC-46</t>
        </is>
      </c>
      <c r="C418" s="15" t="inlineStr">
        <is>
          <t>P1</t>
        </is>
      </c>
      <c r="D418" s="13" t="inlineStr">
        <is>
          <t>Buka Pemetaan GL sebagai Finance resto biasa</t>
        </is>
      </c>
      <c r="E418" s="13" t="inlineStr">
        <is>
          <t>Bagian GL Voucher tidak muncul, penanda "belum dipetakan" tidak berbunyi</t>
        </is>
      </c>
      <c r="F418" s="13" t="inlineStr">
        <is>
          <t>F-VC-13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TC-VC-47</t>
        </is>
      </c>
      <c r="C419" s="20" t="inlineStr">
        <is>
          <t>P2</t>
        </is>
      </c>
      <c r="D419" s="16" t="inlineStr">
        <is>
          <t>Ubah nomor GL Voucher lalu simpan</t>
        </is>
      </c>
      <c r="E419" s="16" t="inlineStr">
        <is>
          <t>Tersimpan, dan jurnal voucher berikutnya memakai nomor baru</t>
        </is>
      </c>
      <c r="F419" s="16" t="inlineStr">
        <is>
          <t>F-VC-13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TC-VC-48</t>
        </is>
      </c>
      <c r="C420" s="15" t="inlineStr">
        <is>
          <t>P1</t>
        </is>
      </c>
      <c r="D420" s="13" t="inlineStr">
        <is>
          <t>Terbitkan batch, lalu buka Kotak Masuk pelanggan</t>
        </is>
      </c>
      <c r="E420" s="13" t="inlineStr">
        <is>
          <t>Ada kabar di tab Umum berisi kode, nilai, kuota, dan tenggat</t>
        </is>
      </c>
      <c r="F420" s="13" t="inlineStr">
        <is>
          <t>F-VC-20, F-VC-21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TC-VC-49</t>
        </is>
      </c>
      <c r="C421" s="18" t="inlineStr">
        <is>
          <t>P1</t>
        </is>
      </c>
      <c r="D421" s="16" t="inlineStr">
        <is>
          <t>Terbitkan batch dengan HP pelanggan terkunci</t>
        </is>
      </c>
      <c r="E421" s="16" t="inlineStr">
        <is>
          <t>Push muncul di layar kunci</t>
        </is>
      </c>
      <c r="F421" s="16" t="inlineStr">
        <is>
          <t>F-VC-20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TC-VC-50</t>
        </is>
      </c>
      <c r="C422" s="19" t="inlineStr">
        <is>
          <t>P2</t>
        </is>
      </c>
      <c r="D422" s="13" t="inlineStr">
        <is>
          <t>Terbitkan batch tanpa minimal belanja</t>
        </is>
      </c>
      <c r="E422" s="13" t="inlineStr">
        <is>
          <t>Kalimat minimal belanja tidak muncul di pengumuman</t>
        </is>
      </c>
      <c r="F422" s="13" t="inlineStr">
        <is>
          <t>F-VC-21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TC-VC-51</t>
        </is>
      </c>
      <c r="C423" s="20" t="inlineStr">
        <is>
          <t>P2</t>
        </is>
      </c>
      <c r="D423" s="16" t="inlineStr">
        <is>
          <t>Buka Kotak Masuk sebagai pegawai resto</t>
        </is>
      </c>
      <c r="E423" s="16" t="inlineStr">
        <is>
          <t>Kabar voucher tidak muncul — audiensnya pelanggan</t>
        </is>
      </c>
      <c r="F423" s="16" t="inlineStr">
        <is>
          <t>F-VC-20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TC-VC-52</t>
        </is>
      </c>
      <c r="C424" s="19" t="inlineStr">
        <is>
          <t>P2</t>
        </is>
      </c>
      <c r="D424" s="13" t="inlineStr">
        <is>
          <t>Ketik nama resto di kolom cari pada form terbit</t>
        </is>
      </c>
      <c r="E424" s="13" t="inlineStr">
        <is>
          <t>Daftarnya menyusut sesuai kata kuncinya</t>
        </is>
      </c>
      <c r="F424" s="13" t="inlineStr">
        <is>
          <t>F-VC-22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TC-VC-53</t>
        </is>
      </c>
      <c r="C425" s="18" t="inlineStr">
        <is>
          <t>P1</t>
        </is>
      </c>
      <c r="D425" s="16" t="inlineStr">
        <is>
          <t>Centang 3 resto, lalu cari kata yang menyaringnya keluar</t>
        </is>
      </c>
      <c r="E425" s="16" t="inlineStr">
        <is>
          <t>Ketiganya tetap terpilih; hitungannya tidak berubah</t>
        </is>
      </c>
      <c r="F425" s="16" t="inlineStr">
        <is>
          <t>F-VC-22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TC-VC-54</t>
        </is>
      </c>
      <c r="C426" s="15" t="inlineStr">
        <is>
          <t>P1</t>
        </is>
      </c>
      <c r="D426" s="13" t="inlineStr">
        <is>
          <t>Saring daftarnya, lalu ketuk Pilih semua</t>
        </is>
      </c>
      <c r="E426" s="13" t="inlineStr">
        <is>
          <t>Hanya yang tampil tercentang, bukan seluruh resto</t>
        </is>
      </c>
      <c r="F426" s="13" t="inlineStr">
        <is>
          <t>F-VC-22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TC-VC-55</t>
        </is>
      </c>
      <c r="C427" s="20" t="inlineStr">
        <is>
          <t>P2</t>
        </is>
      </c>
      <c r="D427" s="16" t="inlineStr">
        <is>
          <t>Ketuk Lepas semua saat semua yang tampil tercentang</t>
        </is>
      </c>
      <c r="E427" s="16" t="inlineStr">
        <is>
          <t>Yang tampil terlepas; pilihan di luar saringan tetap</t>
        </is>
      </c>
      <c r="F427" s="16" t="inlineStr">
        <is>
          <t>F-VC-22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TC-VC-56</t>
        </is>
      </c>
      <c r="C428" s="19" t="inlineStr">
        <is>
          <t>P2</t>
        </is>
      </c>
      <c r="D428" s="13" t="inlineStr">
        <is>
          <t>Cari nama resto yang tidak ada</t>
        </is>
      </c>
      <c r="E428" s="13" t="inlineStr">
        <is>
          <t>Muncul "Tidak ada resto bernama itu"</t>
        </is>
      </c>
      <c r="F428" s="13" t="inlineStr">
        <is>
          <t>F-VC-22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TC-VC-57</t>
        </is>
      </c>
      <c r="C429" s="18" t="inlineStr">
        <is>
          <t>P1</t>
        </is>
      </c>
      <c r="D429" s="16" t="inlineStr">
        <is>
          <t>Terbitkan batch berbanner, lalu buka Kotak Masuk pelanggan</t>
        </is>
      </c>
      <c r="E429" s="16" t="inlineStr">
        <is>
          <t>Gambarnya tampil bersama kabarnya</t>
        </is>
      </c>
      <c r="F429" s="16" t="inlineStr">
        <is>
          <t>F-VC-23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TC-VC-58</t>
        </is>
      </c>
      <c r="C430" s="19" t="inlineStr">
        <is>
          <t>P2</t>
        </is>
      </c>
      <c r="D430" s="13" t="inlineStr">
        <is>
          <t>Pilih gambar potret, lihat pratinjaunya</t>
        </is>
      </c>
      <c r="E430" s="13" t="inlineStr">
        <is>
          <t>Dipotong 16:9, sama dengan yang nanti muncul di kotak masuk</t>
        </is>
      </c>
      <c r="F430" s="13" t="inlineStr">
        <is>
          <t>F-VC-23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TC-VC-59</t>
        </is>
      </c>
      <c r="C431" s="20" t="inlineStr">
        <is>
          <t>P2</t>
        </is>
      </c>
      <c r="D431" s="16" t="inlineStr">
        <is>
          <t>Terbitkan batch tanpa banner</t>
        </is>
      </c>
      <c r="E431" s="16" t="inlineStr">
        <is>
          <t>Kabarnya tetap terkirim, tanpa gambar</t>
        </is>
      </c>
      <c r="F431" s="16" t="inlineStr">
        <is>
          <t>F-VC-23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TC-VC-60</t>
        </is>
      </c>
      <c r="C432" s="15" t="inlineStr">
        <is>
          <t>P1</t>
        </is>
      </c>
      <c r="D432" s="13" t="inlineStr">
        <is>
          <t>Cari tombol Hapus pada batch yang masih berjalan</t>
        </is>
      </c>
      <c r="E432" s="13" t="inlineStr">
        <is>
          <t>Tidak ada — harus ditutup dulu</t>
        </is>
      </c>
      <c r="F432" s="13" t="inlineStr">
        <is>
          <t>F-VC-24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TC-VC-61</t>
        </is>
      </c>
      <c r="C433" s="18" t="inlineStr">
        <is>
          <t>P1</t>
        </is>
      </c>
      <c r="D433" s="16" t="inlineStr">
        <is>
          <t>Tutup batch yang belum ada penebusnya, lalu hapus</t>
        </is>
      </c>
      <c r="E433" s="16" t="inlineStr">
        <is>
          <t>Terhapus; dananya kembali ke GL Total Saldo</t>
        </is>
      </c>
      <c r="F433" s="16" t="inlineStr">
        <is>
          <t>F-VC-24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TC-VC-62</t>
        </is>
      </c>
      <c r="C434" s="15" t="inlineStr">
        <is>
          <t>P1</t>
        </is>
      </c>
      <c r="D434" s="13" t="inlineStr">
        <is>
          <t>Periksa Kotak Masuk pelanggan sesudah batch dihapus</t>
        </is>
      </c>
      <c r="E434" s="13" t="inlineStr">
        <is>
          <t>Kabar vouchernya ikut hilang</t>
        </is>
      </c>
      <c r="F434" s="13" t="inlineStr">
        <is>
          <t>F-VC-24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TC-VC-63</t>
        </is>
      </c>
      <c r="C435" s="18" t="inlineStr">
        <is>
          <t>P1</t>
        </is>
      </c>
      <c r="D435" s="16" t="inlineStr">
        <is>
          <t>Panggil delete_voucher_batch untuk batch yang sudah ada penebusnya</t>
        </is>
      </c>
      <c r="E435" s="16" t="inlineStr">
        <is>
          <t>Ditolak, dengan jumlah penebusnya disebut</t>
        </is>
      </c>
      <c r="F435" s="16" t="inlineStr">
        <is>
          <t>F-VC-24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TC-VC-64</t>
        </is>
      </c>
      <c r="C436" s="15" t="inlineStr">
        <is>
          <t>P1</t>
        </is>
      </c>
      <c r="D436" s="13" t="inlineStr">
        <is>
          <t>Panggil delete_voucher_batch sebagai bukan Super Admin</t>
        </is>
      </c>
      <c r="E436" s="13" t="inlineStr">
        <is>
          <t>Ditolak</t>
        </is>
      </c>
      <c r="F436" s="13" t="inlineStr">
        <is>
          <t>F-VC-24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TC-VC-65</t>
        </is>
      </c>
      <c r="C437" s="20" t="inlineStr">
        <is>
          <t>P2</t>
        </is>
      </c>
      <c r="D437" s="16" t="inlineStr">
        <is>
          <t>Hapus batch yang sudah pernah disettle penjadwal</t>
        </is>
      </c>
      <c r="E437" s="16" t="inlineStr">
        <is>
          <t>Dananya tidak dikembalikan dua kali</t>
        </is>
      </c>
      <c r="F437" s="16" t="inlineStr">
        <is>
          <t>F-VC-24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TC-VC-66</t>
        </is>
      </c>
      <c r="C438" s="15" t="inlineStr">
        <is>
          <t>P1</t>
        </is>
      </c>
      <c r="D438" s="13" t="inlineStr">
        <is>
          <t>Ketuk Penebus pada sebuah batch</t>
        </is>
      </c>
      <c r="E438" s="13" t="inlineStr">
        <is>
          <t>Daftar email penebut berikut tanggal tebus dan statusnya</t>
        </is>
      </c>
      <c r="F438" s="13" t="inlineStr">
        <is>
          <t>F-VC-25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TC-VC-67</t>
        </is>
      </c>
      <c r="C439" s="18" t="inlineStr">
        <is>
          <t>P1</t>
        </is>
      </c>
      <c r="D439" s="16" t="inlineStr">
        <is>
          <t>Periksa ringkasan di atas daftar penebus</t>
        </is>
      </c>
      <c r="E439" s="16" t="inlineStr">
        <is>
          <t>Dipakai / Menggantung / Hangus berjumlah sama dengan barisnya</t>
        </is>
      </c>
      <c r="F439" s="16" t="inlineStr">
        <is>
          <t>F-VC-25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TC-VC-68</t>
        </is>
      </c>
      <c r="C440" s="15" t="inlineStr">
        <is>
          <t>P1</t>
        </is>
      </c>
      <c r="D440" s="13" t="inlineStr">
        <is>
          <t>Lewati tanggal kedaluwarsa sebelum penjadwal berjalan</t>
        </is>
      </c>
      <c r="E440" s="13" t="inlineStr">
        <is>
          <t>Statusnya sudah Hangus, bukan Belum Dipakai</t>
        </is>
      </c>
      <c r="F440" s="13" t="inlineStr">
        <is>
          <t>F-VC-25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TC-VC-69</t>
        </is>
      </c>
      <c r="C441" s="18" t="inlineStr">
        <is>
          <t>P1</t>
        </is>
      </c>
      <c r="D441" s="16" t="inlineStr">
        <is>
          <t>Terbitkan batch dengan ceklis Khusus pengguna baru</t>
        </is>
      </c>
      <c r="E441" s="16" t="inlineStr">
        <is>
          <t>Tersimpan; kartunya menyebut "khusus pengguna baru"</t>
        </is>
      </c>
      <c r="F441" s="16" t="inlineStr">
        <is>
          <t>F-VC-26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TC-VC-70</t>
        </is>
      </c>
      <c r="C442" s="15" t="inlineStr">
        <is>
          <t>P1</t>
        </is>
      </c>
      <c r="D442" s="13" t="inlineStr">
        <is>
          <t>Akun yang belum pernah memesan menebusnya</t>
        </is>
      </c>
      <c r="E442" s="13" t="inlineStr">
        <is>
          <t>Berhasil</t>
        </is>
      </c>
      <c r="F442" s="13" t="inlineStr">
        <is>
          <t>F-VC-26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TC-VC-71</t>
        </is>
      </c>
      <c r="C443" s="18" t="inlineStr">
        <is>
          <t>P1</t>
        </is>
      </c>
      <c r="D443" s="16" t="inlineStr">
        <is>
          <t>Akun yang pernah punya pesanan terbayar menebusnya</t>
        </is>
      </c>
      <c r="E443" s="16" t="inlineStr">
        <is>
          <t>Ditolak — "hanya untuk pengguna baru KaataGo"</t>
        </is>
      </c>
      <c r="F443" s="16" t="inlineStr">
        <is>
          <t>F-VC-26, F-VC-27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TC-VC-72</t>
        </is>
      </c>
      <c r="C444" s="15" t="inlineStr">
        <is>
          <t>P1</t>
        </is>
      </c>
      <c r="D444" s="13" t="inlineStr">
        <is>
          <t>Akun yang pesanannya semua batal menebusnya</t>
        </is>
      </c>
      <c r="E444" s="13" t="inlineStr">
        <is>
          <t>Berhasil — batal tidak menghilangkan status pengguna baru</t>
        </is>
      </c>
      <c r="F444" s="13" t="inlineStr">
        <is>
          <t>F-VC-26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TC-VC-73</t>
        </is>
      </c>
      <c r="C445" s="18" t="inlineStr">
        <is>
          <t>P1</t>
        </is>
      </c>
      <c r="D445" s="16" t="inlineStr">
        <is>
          <t>Akun yang pernah memesan di resto lain saja</t>
        </is>
      </c>
      <c r="E445" s="16" t="inlineStr">
        <is>
          <t>Ditolak — batasnya seluruh KaataGo</t>
        </is>
      </c>
      <c r="F445" s="16" t="inlineStr">
        <is>
          <t>F-VC-26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TC-VC-74</t>
        </is>
      </c>
      <c r="C446" s="15" t="inlineStr">
        <is>
          <t>P1</t>
        </is>
      </c>
      <c r="D446" s="13" t="inlineStr">
        <is>
          <t>Batch khusus pengguna baru berkuota 1, ditebus akun lama lalu akun baru</t>
        </is>
      </c>
      <c r="E446" s="13" t="inlineStr">
        <is>
          <t>Akun lama ditolak dengan sebab yang benar; kuotanya tidak berkurang</t>
        </is>
      </c>
      <c r="F446" s="13" t="inlineStr">
        <is>
          <t>F-VC-26, F-VC-27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TC-VC-75</t>
        </is>
      </c>
      <c r="C447" s="20" t="inlineStr">
        <is>
          <t>P2</t>
        </is>
      </c>
      <c r="D447" s="16" t="inlineStr">
        <is>
          <t>Periksa pengumuman kotak masuknya</t>
        </is>
      </c>
      <c r="E447" s="16" t="inlineStr">
        <is>
          <t>Menyebut "Khusus pengguna baru"</t>
        </is>
      </c>
      <c r="F447" s="16" t="inlineStr">
        <is>
          <t>F-VC-28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TC-VC-76</t>
        </is>
      </c>
      <c r="C448" s="19" t="inlineStr">
        <is>
          <t>P2</t>
        </is>
      </c>
      <c r="D448" s="13" t="inlineStr">
        <is>
          <t>Terbitkan batch tanpa ceklis itu</t>
        </is>
      </c>
      <c r="E448" s="13" t="inlineStr">
        <is>
          <t>Siapa pun bisa menebus; kalimat syaratnya tidak muncul</t>
        </is>
      </c>
      <c r="F448" s="13" t="inlineStr">
        <is>
          <t>F-VC-26, F-VC-28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TC-VC-77</t>
        </is>
      </c>
      <c r="C449" s="20" t="inlineStr">
        <is>
          <t>P2</t>
        </is>
      </c>
      <c r="D449" s="16" t="inlineStr">
        <is>
          <t>Periksa batch lama yang terbit sebelum fitur ini</t>
        </is>
      </c>
      <c r="E449" s="16" t="inlineStr">
        <is>
          <t>Tetap terbuka untuk siapa saja</t>
        </is>
      </c>
      <c r="F449" s="16" t="inlineStr">
        <is>
          <t>F-VC-26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TC-VC-78</t>
        </is>
      </c>
      <c r="C450" s="15" t="inlineStr">
        <is>
          <t>P1</t>
        </is>
      </c>
      <c r="D450" s="13" t="inlineStr">
        <is>
          <t>Buka aplikasi sebagai tamu, lihat layar awal pelanggan</t>
        </is>
      </c>
      <c r="E450" s="13" t="inlineStr">
        <is>
          <t>Tidak ada menu Voucher Saya</t>
        </is>
      </c>
      <c r="F450" s="13" t="inlineStr">
        <is>
          <t>F-VC-29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TC-VC-79</t>
        </is>
      </c>
      <c r="C451" s="18" t="inlineStr">
        <is>
          <t>P1</t>
        </is>
      </c>
      <c r="D451" s="16" t="inlineStr">
        <is>
          <t>Tamu memesan lalu buka keranjang</t>
        </is>
      </c>
      <c r="E451" s="16" t="inlineStr">
        <is>
          <t>Baris Pakai Voucher tidak muncul</t>
        </is>
      </c>
      <c r="F451" s="16" t="inlineStr">
        <is>
          <t>F-VC-29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TC-VC-80</t>
        </is>
      </c>
      <c r="C452" s="19" t="inlineStr">
        <is>
          <t>P2</t>
        </is>
      </c>
      <c r="D452" s="13" t="inlineStr">
        <is>
          <t>Masuk dengan akun, buka keranjang yang sama</t>
        </is>
      </c>
      <c r="E452" s="13" t="inlineStr">
        <is>
          <t>Baris Pakai Voucher muncul kembali</t>
        </is>
      </c>
      <c r="F452" s="13" t="inlineStr">
        <is>
          <t>F-VC-29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TC-VC-81</t>
        </is>
      </c>
      <c r="C453" s="20" t="inlineStr">
        <is>
          <t>P2</t>
        </is>
      </c>
      <c r="D453" s="16" t="inlineStr">
        <is>
          <t>Tamu menyelesaikan pesanan</t>
        </is>
      </c>
      <c r="E453" s="16" t="inlineStr">
        <is>
          <t>Tersimpan tanpa voucher, nilai vouchernya nol</t>
        </is>
      </c>
      <c r="F453" s="16" t="inlineStr">
        <is>
          <t>F-VC-29</t>
        </is>
      </c>
      <c r="G453" s="16" t="inlineStr"/>
      <c r="H453" s="16" t="inlineStr"/>
      <c r="I453" s="16" t="inlineStr"/>
    </row>
    <row r="454">
      <c r="A454" s="13" t="inlineStr">
        <is>
          <t>## 19e. Analisa Pasar</t>
        </is>
      </c>
      <c r="B454" s="14" t="inlineStr">
        <is>
          <t>TC-MR-01</t>
        </is>
      </c>
      <c r="C454" s="15" t="inlineStr">
        <is>
          <t>P1</t>
        </is>
      </c>
      <c r="D454" s="13" t="inlineStr">
        <is>
          <t>Super Admin → Analisa Pasar</t>
        </is>
      </c>
      <c r="E454" s="13" t="inlineStr">
        <is>
          <t>Empat bagian termuat tanpa galat</t>
        </is>
      </c>
      <c r="F454" s="13" t="inlineStr">
        <is>
          <t>F-MR-01…04</t>
        </is>
      </c>
      <c r="G454" s="13" t="inlineStr"/>
      <c r="H454" s="13" t="inlineStr"/>
      <c r="I454" s="13" t="inlineStr"/>
    </row>
    <row r="455">
      <c r="A455" s="16" t="inlineStr">
        <is>
          <t>## 19e. Analisa Pasar</t>
        </is>
      </c>
      <c r="B455" s="17" t="inlineStr">
        <is>
          <t>TC-MR-02</t>
        </is>
      </c>
      <c r="C455" s="18" t="inlineStr">
        <is>
          <t>P1</t>
        </is>
      </c>
      <c r="D455" s="16" t="inlineStr">
        <is>
          <t>Bandingkan Top 5 Pelanggan dengan jumlah manual dari orders</t>
        </is>
      </c>
      <c r="E455" s="16" t="inlineStr">
        <is>
          <t>Cocok nominal dan jumlah pesanannya</t>
        </is>
      </c>
      <c r="F455" s="16" t="inlineStr">
        <is>
          <t>F-MR-01</t>
        </is>
      </c>
      <c r="G455" s="16" t="inlineStr"/>
      <c r="H455" s="16" t="inlineStr"/>
      <c r="I455" s="16" t="inlineStr"/>
    </row>
    <row r="456">
      <c r="A456" s="13" t="inlineStr">
        <is>
          <t>## 19e. Analisa Pasar</t>
        </is>
      </c>
      <c r="B456" s="14" t="inlineStr">
        <is>
          <t>TC-MR-03</t>
        </is>
      </c>
      <c r="C456" s="15" t="inlineStr">
        <is>
          <t>P1</t>
        </is>
      </c>
      <c r="D456" s="13" t="inlineStr">
        <is>
          <t>Batalkan sebuah pesanan besar, muat ulang</t>
        </is>
      </c>
      <c r="E456" s="13" t="inlineStr">
        <is>
          <t>Nominalnya berkurang — yang batal tidak dihitung</t>
        </is>
      </c>
      <c r="F456" s="13" t="inlineStr">
        <is>
          <t>F-MR-05</t>
        </is>
      </c>
      <c r="G456" s="13" t="inlineStr"/>
      <c r="H456" s="13" t="inlineStr"/>
      <c r="I456" s="13" t="inlineStr"/>
    </row>
    <row r="457">
      <c r="A457" s="16" t="inlineStr">
        <is>
          <t>## 19e. Analisa Pasar</t>
        </is>
      </c>
      <c r="B457" s="17" t="inlineStr">
        <is>
          <t>TC-MR-04</t>
        </is>
      </c>
      <c r="C457" s="18" t="inlineStr">
        <is>
          <t>P1</t>
        </is>
      </c>
      <c r="D457" s="16" t="inlineStr">
        <is>
          <t>Buat akun pelanggan baru tanpa memesan</t>
        </is>
      </c>
      <c r="E457" s="16" t="inlineStr">
        <is>
          <t>Muncul di daftar Belum Pernah Memesan</t>
        </is>
      </c>
      <c r="F457" s="16" t="inlineStr">
        <is>
          <t>F-MR-02</t>
        </is>
      </c>
      <c r="G457" s="16" t="inlineStr"/>
      <c r="H457" s="16" t="inlineStr"/>
      <c r="I457" s="16" t="inlineStr"/>
    </row>
    <row r="458">
      <c r="A458" s="13" t="inlineStr">
        <is>
          <t>## 19e. Analisa Pasar</t>
        </is>
      </c>
      <c r="B458" s="14" t="inlineStr">
        <is>
          <t>TC-MR-05</t>
        </is>
      </c>
      <c r="C458" s="15" t="inlineStr">
        <is>
          <t>P1</t>
        </is>
      </c>
      <c r="D458" s="13" t="inlineStr">
        <is>
          <t>Pelanggan itu menyelesaikan satu pesanan, muat ulang</t>
        </is>
      </c>
      <c r="E458" s="13" t="inlineStr">
        <is>
          <t>Hilang dari daftar tersebut</t>
        </is>
      </c>
      <c r="F458" s="13" t="inlineStr">
        <is>
          <t>F-MR-02</t>
        </is>
      </c>
      <c r="G458" s="13" t="inlineStr"/>
      <c r="H458" s="13" t="inlineStr"/>
      <c r="I458" s="13" t="inlineStr"/>
    </row>
    <row r="459">
      <c r="A459" s="16" t="inlineStr">
        <is>
          <t>## 19e. Analisa Pasar</t>
        </is>
      </c>
      <c r="B459" s="17" t="inlineStr">
        <is>
          <t>TC-MR-06</t>
        </is>
      </c>
      <c r="C459" s="18" t="inlineStr">
        <is>
          <t>P1</t>
        </is>
      </c>
      <c r="D459" s="16" t="inlineStr">
        <is>
          <t>Bandingkan Top 5 Resto dengan Jurnal GL resto bersangkutan</t>
        </is>
      </c>
      <c r="E459" s="16" t="inlineStr">
        <is>
          <t>Nominalnya sejalan</t>
        </is>
      </c>
      <c r="F459" s="16" t="inlineStr">
        <is>
          <t>F-MR-03</t>
        </is>
      </c>
      <c r="G459" s="16" t="inlineStr"/>
      <c r="H459" s="16" t="inlineStr"/>
      <c r="I459" s="16" t="inlineStr"/>
    </row>
    <row r="460">
      <c r="A460" s="13" t="inlineStr">
        <is>
          <t>## 19e. Analisa Pasar</t>
        </is>
      </c>
      <c r="B460" s="14" t="inlineStr">
        <is>
          <t>TC-MR-07</t>
        </is>
      </c>
      <c r="C460" s="15" t="inlineStr">
        <is>
          <t>P1</t>
        </is>
      </c>
      <c r="D460" s="13" t="inlineStr">
        <is>
          <t>Resto yang seluruh pesanannya batal</t>
        </is>
      </c>
      <c r="E460" s="13" t="inlineStr">
        <is>
          <t>Muncul di Belum Ada Penghasilan, jumlah pesanan 0</t>
        </is>
      </c>
      <c r="F460" s="13" t="inlineStr">
        <is>
          <t>F-MR-04</t>
        </is>
      </c>
      <c r="G460" s="13" t="inlineStr"/>
      <c r="H460" s="13" t="inlineStr"/>
      <c r="I460" s="13" t="inlineStr"/>
    </row>
    <row r="461">
      <c r="A461" s="16" t="inlineStr">
        <is>
          <t>## 19e. Analisa Pasar</t>
        </is>
      </c>
      <c r="B461" s="17" t="inlineStr">
        <is>
          <t>TC-MR-08</t>
        </is>
      </c>
      <c r="C461" s="20" t="inlineStr">
        <is>
          <t>P2</t>
        </is>
      </c>
      <c r="D461" s="16" t="inlineStr">
        <is>
          <t>Resto baru tanpa pesanan sama sekali</t>
        </is>
      </c>
      <c r="E461" s="16" t="inlineStr">
        <is>
          <t>Muncul dengan "Belum ada pesanan"</t>
        </is>
      </c>
      <c r="F461" s="16" t="inlineStr">
        <is>
          <t>F-MR-04</t>
        </is>
      </c>
      <c r="G461" s="16" t="inlineStr"/>
      <c r="H461" s="16" t="inlineStr"/>
      <c r="I461" s="16" t="inlineStr"/>
    </row>
    <row r="462">
      <c r="A462" s="13" t="inlineStr">
        <is>
          <t>## 19e. Analisa Pasar</t>
        </is>
      </c>
      <c r="B462" s="14" t="inlineStr">
        <is>
          <t>TC-MR-09</t>
        </is>
      </c>
      <c r="C462" s="15" t="inlineStr">
        <is>
          <t>P1</t>
        </is>
      </c>
      <c r="D462" s="13" t="inlineStr">
        <is>
          <t>Periksa apakah resto KaataGo ikut terhitung</t>
        </is>
      </c>
      <c r="E462" s="13" t="inlineStr">
        <is>
          <t>Tidak — resto platform dikecualikan</t>
        </is>
      </c>
      <c r="F462" s="13" t="inlineStr">
        <is>
          <t>F-MR-06</t>
        </is>
      </c>
      <c r="G462" s="13" t="inlineStr"/>
      <c r="H462" s="13" t="inlineStr"/>
      <c r="I462" s="13" t="inlineStr"/>
    </row>
    <row r="463">
      <c r="A463" s="16" t="inlineStr">
        <is>
          <t>## 19e. Analisa Pasar</t>
        </is>
      </c>
      <c r="B463" s="17" t="inlineStr">
        <is>
          <t>TC-MR-10</t>
        </is>
      </c>
      <c r="C463" s="18" t="inlineStr">
        <is>
          <t>P1</t>
        </is>
      </c>
      <c r="D463" s="16" t="inlineStr">
        <is>
          <t>Hapus lunak sebuah resto, muat ulang</t>
        </is>
      </c>
      <c r="E463" s="16" t="inlineStr">
        <is>
          <t>Hilang dari keempat daftar</t>
        </is>
      </c>
      <c r="F463" s="16" t="inlineStr">
        <is>
          <t>F-MR-06</t>
        </is>
      </c>
      <c r="G463" s="16" t="inlineStr"/>
      <c r="H463" s="16" t="inlineStr"/>
      <c r="I463" s="16" t="inlineStr"/>
    </row>
    <row r="464">
      <c r="A464" s="13" t="inlineStr">
        <is>
          <t>## 19e. Analisa Pasar</t>
        </is>
      </c>
      <c r="B464" s="14" t="inlineStr">
        <is>
          <t>TC-MR-11</t>
        </is>
      </c>
      <c r="C464" s="15" t="inlineStr">
        <is>
          <t>P1</t>
        </is>
      </c>
      <c r="D464" s="13" t="inlineStr">
        <is>
          <t>Panggil report_top_customers sebagai Owner resto</t>
        </is>
      </c>
      <c r="E464" s="13" t="inlineStr">
        <is>
          <t>Daftar kosong, bukan pesan galat</t>
        </is>
      </c>
      <c r="F464" s="13" t="inlineStr">
        <is>
          <t>F-MR-07</t>
        </is>
      </c>
      <c r="G464" s="13" t="inlineStr"/>
      <c r="H464" s="13" t="inlineStr"/>
      <c r="I464" s="13" t="inlineStr"/>
    </row>
    <row r="465">
      <c r="A465" s="16" t="inlineStr">
        <is>
          <t>## 19e. Analisa Pasar</t>
        </is>
      </c>
      <c r="B465" s="17" t="inlineStr">
        <is>
          <t>TC-MR-12</t>
        </is>
      </c>
      <c r="C465" s="20" t="inlineStr">
        <is>
          <t>P2</t>
        </is>
      </c>
      <c r="D465" s="16" t="inlineStr">
        <is>
          <t>Panggil salah satu RPC dengan p_limit 99999</t>
        </is>
      </c>
      <c r="E465" s="16" t="inlineStr">
        <is>
          <t>Dijepit ke batas atasnya</t>
        </is>
      </c>
      <c r="F465" s="16" t="inlineStr">
        <is>
          <t>F-MR-07</t>
        </is>
      </c>
      <c r="G465" s="16" t="inlineStr"/>
      <c r="H465" s="16" t="inlineStr"/>
      <c r="I465" s="16" t="inlineStr"/>
    </row>
    <row r="466">
      <c r="A466" s="13" t="inlineStr">
        <is>
          <t>## 19e. Analisa Pasar</t>
        </is>
      </c>
      <c r="B466" s="14" t="inlineStr">
        <is>
          <t>TC-MR-13</t>
        </is>
      </c>
      <c r="C466" s="19" t="inlineStr">
        <is>
          <t>P2</t>
        </is>
      </c>
      <c r="D466" s="13" t="inlineStr">
        <is>
          <t>Pesanan kasir atas nama tamu</t>
        </is>
      </c>
      <c r="E466" s="13" t="inlineStr">
        <is>
          <t>Tidak ikut peringkat pelanggan — bukan akun terdaftar</t>
        </is>
      </c>
      <c r="F466" s="13" t="inlineStr">
        <is>
          <t>F-MR-01</t>
        </is>
      </c>
      <c r="G466" s="13" t="inlineStr"/>
      <c r="H466" s="13" t="inlineStr"/>
      <c r="I466" s="13" t="inlineStr"/>
    </row>
    <row r="467">
      <c r="A467" s="16" t="inlineStr">
        <is>
          <t>Uji Teknis (lingkup TSD)</t>
        </is>
      </c>
      <c r="B467" s="17" t="inlineStr">
        <is>
          <t>TC-TS-01</t>
        </is>
      </c>
      <c r="C467" s="18" t="inlineStr">
        <is>
          <t>P1</t>
        </is>
      </c>
      <c r="D467" s="16" t="inlineStr">
        <is>
          <t>Panggil GET /rest/v1/orders memakai kunci anon tanpa login</t>
        </is>
      </c>
      <c r="E467" s="16" t="inlineStr">
        <is>
          <t>Tidak mengembalikan pesanan resto mana pun</t>
        </is>
      </c>
      <c r="F467" s="16" t="inlineStr">
        <is>
          <t>TSD §5</t>
        </is>
      </c>
      <c r="G467" s="16" t="inlineStr"/>
      <c r="H467" s="16" t="inlineStr"/>
      <c r="I467" s="16" t="inlineStr"/>
    </row>
    <row r="468">
      <c r="A468" s="13" t="inlineStr">
        <is>
          <t>Uji Teknis (lingkup TSD)</t>
        </is>
      </c>
      <c r="B468" s="14" t="inlineStr">
        <is>
          <t>TC-TS-02</t>
        </is>
      </c>
      <c r="C468" s="15" t="inlineStr">
        <is>
          <t>P1</t>
        </is>
      </c>
      <c r="D468" s="13" t="inlineStr">
        <is>
          <t>Login sebagai karyawan resto A, baca orders resto B lewat API</t>
        </is>
      </c>
      <c r="E468" s="13" t="inlineStr">
        <is>
          <t>Kosong — bukan galat, tapi juga bukan data</t>
        </is>
      </c>
      <c r="F468" s="13" t="inlineStr">
        <is>
          <t>TSD §5</t>
        </is>
      </c>
      <c r="G468" s="13" t="inlineStr"/>
      <c r="H468" s="13" t="inlineStr"/>
      <c r="I468" s="13" t="inlineStr"/>
    </row>
    <row r="469">
      <c r="A469" s="16" t="inlineStr">
        <is>
          <t>Uji Teknis (lingkup TSD)</t>
        </is>
      </c>
      <c r="B469" s="17" t="inlineStr">
        <is>
          <t>TC-TS-03</t>
        </is>
      </c>
      <c r="C469" s="18" t="inlineStr">
        <is>
          <t>P1</t>
        </is>
      </c>
      <c r="D469" s="16" t="inlineStr">
        <is>
          <t>Login sebagai Owner, buka tiap layar resto miliknya</t>
        </is>
      </c>
      <c r="E469" s="16" t="inlineStr">
        <is>
          <t>Tidak ada layar yang kosong karena RLS — owner harus disebut di setiap daftar peran</t>
        </is>
      </c>
      <c r="F469" s="16" t="inlineStr">
        <is>
          <t>TSD §5</t>
        </is>
      </c>
      <c r="G469" s="16" t="inlineStr"/>
      <c r="H469" s="16" t="inlineStr"/>
      <c r="I469" s="16" t="inlineStr"/>
    </row>
    <row r="470">
      <c r="A470" s="13" t="inlineStr">
        <is>
          <t>Uji Teknis (lingkup TSD)</t>
        </is>
      </c>
      <c r="B470" s="14" t="inlineStr">
        <is>
          <t>TC-TS-04</t>
        </is>
      </c>
      <c r="C470" s="15" t="inlineStr">
        <is>
          <t>P1</t>
        </is>
      </c>
      <c r="D470" s="13" t="inlineStr">
        <is>
          <t>Login sebagai Kasir, baca gl_journal_entries</t>
        </is>
      </c>
      <c r="E470" s="13" t="inlineStr">
        <is>
          <t>Hanya yang terkait catatan yang memang boleh dia lihat</t>
        </is>
      </c>
      <c r="F470" s="13" t="inlineStr">
        <is>
          <t>F-KS-13, TSD §5.1</t>
        </is>
      </c>
      <c r="G470" s="13" t="inlineStr"/>
      <c r="H470" s="13" t="inlineStr"/>
      <c r="I470" s="13" t="inlineStr"/>
    </row>
    <row r="471">
      <c r="A471" s="16" t="inlineStr">
        <is>
          <t>Uji Teknis (lingkup TSD)</t>
        </is>
      </c>
      <c r="B471" s="17" t="inlineStr">
        <is>
          <t>TC-TS-05</t>
        </is>
      </c>
      <c r="C471" s="18" t="inlineStr">
        <is>
          <t>P1</t>
        </is>
      </c>
      <c r="D471" s="16" t="inlineStr">
        <is>
          <t>Coba UPDATE products langsung lewat API sebagai pelanggan</t>
        </is>
      </c>
      <c r="E471" s="16" t="inlineStr">
        <is>
          <t>Ditolak; pengurangan stok hanya lewat decrement_stock</t>
        </is>
      </c>
      <c r="F471" s="16" t="inlineStr">
        <is>
          <t>TSD §5.2</t>
        </is>
      </c>
      <c r="G471" s="16" t="inlineStr"/>
      <c r="H471" s="16" t="inlineStr"/>
      <c r="I471" s="16" t="inlineStr"/>
    </row>
    <row r="472">
      <c r="A472" s="13" t="inlineStr">
        <is>
          <t>Uji Teknis (lingkup TSD)</t>
        </is>
      </c>
      <c r="B472" s="14" t="inlineStr">
        <is>
          <t>TC-TS-06</t>
        </is>
      </c>
      <c r="C472" s="15" t="inlineStr">
        <is>
          <t>P1</t>
        </is>
      </c>
      <c r="D472" s="13" t="inlineStr">
        <is>
          <t>Panggil cancel_my_order untuk pesanan milik orang lain</t>
        </is>
      </c>
      <c r="E472" s="13" t="inlineStr">
        <is>
          <t>Ditolak</t>
        </is>
      </c>
      <c r="F472" s="13" t="inlineStr">
        <is>
          <t>TSD §5.2</t>
        </is>
      </c>
      <c r="G472" s="13" t="inlineStr"/>
      <c r="H472" s="13" t="inlineStr"/>
      <c r="I472" s="13" t="inlineStr"/>
    </row>
    <row r="473">
      <c r="A473" s="16" t="inlineStr">
        <is>
          <t>Uji Teknis (lingkup TSD)</t>
        </is>
      </c>
      <c r="B473" s="17" t="inlineStr">
        <is>
          <t>TC-TS-07</t>
        </is>
      </c>
      <c r="C473" s="18" t="inlineStr">
        <is>
          <t>P1</t>
        </is>
      </c>
      <c r="D473" s="16" t="inlineStr">
        <is>
          <t>Jalankan ulang seluruh JALANKAN-INI.sql di database yang sudah terisi</t>
        </is>
      </c>
      <c r="E473" s="16" t="inlineStr">
        <is>
          <t>Selesai tanpa galat; tidak ada data yang berubah</t>
        </is>
      </c>
      <c r="F473" s="16" t="inlineStr">
        <is>
          <t>TSD §11</t>
        </is>
      </c>
      <c r="G473" s="16" t="inlineStr"/>
      <c r="H473" s="16" t="inlineStr"/>
      <c r="I473" s="16" t="inlineStr"/>
    </row>
    <row r="474">
      <c r="A474" s="13" t="inlineStr">
        <is>
          <t>Uji Teknis (lingkup TSD)</t>
        </is>
      </c>
      <c r="B474" s="14" t="inlineStr">
        <is>
          <t>TC-TS-08</t>
        </is>
      </c>
      <c r="C474" s="15" t="inlineStr">
        <is>
          <t>P1</t>
        </is>
      </c>
      <c r="D474" s="13" t="inlineStr">
        <is>
          <t>Jalankan ulang satu berkas SQL lama saja, misal cash_payment_expiry.sql</t>
        </is>
      </c>
      <c r="E474" s="13" t="inlineStr">
        <is>
          <t>Tidak menyempitkan daftar nilai batasan mana pun</t>
        </is>
      </c>
      <c r="F474" s="13" t="inlineStr">
        <is>
          <t>TSD §11.1</t>
        </is>
      </c>
      <c r="G474" s="13" t="inlineStr"/>
      <c r="H474" s="13" t="inlineStr"/>
      <c r="I474" s="13" t="inlineStr"/>
    </row>
    <row r="475">
      <c r="A475" s="16" t="inlineStr">
        <is>
          <t>Uji Teknis (lingkup TSD)</t>
        </is>
      </c>
      <c r="B475" s="17" t="inlineStr">
        <is>
          <t>TC-TS-09</t>
        </is>
      </c>
      <c r="C475" s="18" t="inlineStr">
        <is>
          <t>P1</t>
        </is>
      </c>
      <c r="D475" s="16" t="inlineStr">
        <is>
          <t>Buat resto baru dari Super Admin</t>
        </is>
      </c>
      <c r="E475" s="16" t="inlineStr">
        <is>
          <t>Bagan akun GL 12 jenis dan tarif PPN/service langsung terisi</t>
        </is>
      </c>
      <c r="F475" s="16" t="inlineStr">
        <is>
          <t>A-19, TSD §6.2</t>
        </is>
      </c>
      <c r="G475" s="16" t="inlineStr"/>
      <c r="H475" s="16" t="inlineStr"/>
      <c r="I475" s="16" t="inlineStr"/>
    </row>
    <row r="476">
      <c r="A476" s="13" t="inlineStr">
        <is>
          <t>Uji Teknis (lingkup TSD)</t>
        </is>
      </c>
      <c r="B476" s="14" t="inlineStr">
        <is>
          <t>TC-TS-10</t>
        </is>
      </c>
      <c r="C476" s="15" t="inlineStr">
        <is>
          <t>P1</t>
        </is>
      </c>
      <c r="D476" s="13" t="inlineStr">
        <is>
          <t>Kosongkan satu nomor GL, lalu buat transaksi</t>
        </is>
      </c>
      <c r="E476" s="13" t="inlineStr">
        <is>
          <t>Jurnal untuk baris itu tidak terbentuk — pastikan gejalanya dikenali penguji</t>
        </is>
      </c>
      <c r="F476" s="13" t="inlineStr">
        <is>
          <t>TSD §6.2</t>
        </is>
      </c>
      <c r="G476" s="13" t="inlineStr"/>
      <c r="H476" s="13" t="inlineStr"/>
      <c r="I476" s="13" t="inlineStr"/>
    </row>
    <row r="477">
      <c r="A477" s="16" t="inlineStr">
        <is>
          <t>Uji Teknis (lingkup TSD)</t>
        </is>
      </c>
      <c r="B477" s="17" t="inlineStr">
        <is>
          <t>TC-TS-11</t>
        </is>
      </c>
      <c r="C477" s="20" t="inlineStr">
        <is>
          <t>P2</t>
        </is>
      </c>
      <c r="D477" s="16" t="inlineStr">
        <is>
          <t>Periksa push_outbox sesudah pengumuman terbit</t>
        </is>
      </c>
      <c r="E477" s="16" t="inlineStr">
        <is>
          <t>Baris masuk, lalu sent_at terisi</t>
        </is>
      </c>
      <c r="F477" s="16" t="inlineStr">
        <is>
          <t>TSD §8</t>
        </is>
      </c>
      <c r="G477" s="16" t="inlineStr"/>
      <c r="H477" s="16" t="inlineStr"/>
      <c r="I477" s="16" t="inlineStr"/>
    </row>
    <row r="478">
      <c r="A478" s="13" t="inlineStr">
        <is>
          <t>Uji Teknis (lingkup TSD)</t>
        </is>
      </c>
      <c r="B478" s="14" t="inlineStr">
        <is>
          <t>TC-TS-12</t>
        </is>
      </c>
      <c r="C478" s="19" t="inlineStr">
        <is>
          <t>P2</t>
        </is>
      </c>
      <c r="D478" s="13" t="inlineStr">
        <is>
          <t>Matikan sambungan, pakai aplikasi</t>
        </is>
      </c>
      <c r="E478" s="13" t="inlineStr">
        <is>
          <t>Katalog tetap tampil; pesanan tunai tetap bisa dibuat</t>
        </is>
      </c>
      <c r="F478" s="13" t="inlineStr">
        <is>
          <t>TSD §10, FSD §5.6</t>
        </is>
      </c>
      <c r="G478" s="13" t="inlineStr"/>
      <c r="H478" s="13" t="inlineStr"/>
      <c r="I478" s="13" t="inlineStr"/>
    </row>
    <row r="479">
      <c r="A479" s="16" t="inlineStr">
        <is>
          <t>Uji Teknis (lingkup TSD)</t>
        </is>
      </c>
      <c r="B479" s="17" t="inlineStr">
        <is>
          <t>TC-TS-13</t>
        </is>
      </c>
      <c r="C479" s="20" t="inlineStr">
        <is>
          <t>P2</t>
        </is>
      </c>
      <c r="D479" s="16" t="inlineStr">
        <is>
          <t>Sambungkan lagi</t>
        </is>
      </c>
      <c r="E479" s="16" t="inlineStr">
        <is>
          <t>Pesanan yang dibuat saat luring terkirim</t>
        </is>
      </c>
      <c r="F479" s="16" t="inlineStr">
        <is>
          <t>TSD §10</t>
        </is>
      </c>
      <c r="G479" s="16" t="inlineStr"/>
      <c r="H479" s="16" t="inlineStr"/>
      <c r="I479" s="16" t="inlineStr"/>
    </row>
    <row r="480">
      <c r="A480" s="13" t="inlineStr">
        <is>
          <t>Uji Teknis (lingkup TSD)</t>
        </is>
      </c>
      <c r="B480" s="14" t="inlineStr">
        <is>
          <t>TC-TS-14</t>
        </is>
      </c>
      <c r="C480" s="15" t="inlineStr">
        <is>
          <t>P1</t>
        </is>
      </c>
      <c r="D480" s="13" t="inlineStr">
        <is>
          <t>Coba bayar QRIS saat luring</t>
        </is>
      </c>
      <c r="E480" s="13" t="inlineStr">
        <is>
          <t>Ditolak dengan jelas — bukan menggantung tanpa kabar</t>
        </is>
      </c>
      <c r="F480" s="13" t="inlineStr">
        <is>
          <t>FSD §5.6</t>
        </is>
      </c>
      <c r="G480" s="13" t="inlineStr"/>
      <c r="H480" s="13" t="inlineStr"/>
      <c r="I480" s="13" t="inlineStr"/>
    </row>
    <row r="481">
      <c r="A481" s="16" t="inlineStr">
        <is>
          <t>Uji Teknis (lingkup TSD)</t>
        </is>
      </c>
      <c r="B481" s="17" t="inlineStr">
        <is>
          <t>TC-TS-15</t>
        </is>
      </c>
      <c r="C481" s="18" t="inlineStr">
        <is>
          <t>P1</t>
        </is>
      </c>
      <c r="D481" s="16" t="inlineStr">
        <is>
          <t>Panggil create-qris dengan nominal yang dipalsukan di badan permintaan</t>
        </is>
      </c>
      <c r="E481" s="16" t="inlineStr">
        <is>
          <t>Nominal yang dipakai tetap dari basis data</t>
        </is>
      </c>
      <c r="F481" s="16" t="inlineStr">
        <is>
          <t>TSD §7.1</t>
        </is>
      </c>
      <c r="G481" s="16" t="inlineStr"/>
      <c r="H481" s="16" t="inlineStr"/>
      <c r="I481" s="16" t="inlineStr"/>
    </row>
    <row r="482">
      <c r="A482" s="13" t="inlineStr">
        <is>
          <t>Uji Teknis (lingkup TSD)</t>
        </is>
      </c>
      <c r="B482" s="14" t="inlineStr">
        <is>
          <t>TC-TS-16</t>
        </is>
      </c>
      <c r="C482" s="15" t="inlineStr">
        <is>
          <t>P1</t>
        </is>
      </c>
      <c r="D482" s="13" t="inlineStr">
        <is>
          <t>Tandai pesanan lunas lewat API tanpa lewat webhook</t>
        </is>
      </c>
      <c r="E482" s="13" t="inlineStr">
        <is>
          <t>Ditolak</t>
        </is>
      </c>
      <c r="F482" s="13" t="inlineStr">
        <is>
          <t>F-PG-02, TSD §7.1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TC-TS-17</t>
        </is>
      </c>
      <c r="C483" s="20" t="inlineStr">
        <is>
          <t>P2</t>
        </is>
      </c>
      <c r="D483" s="16" t="inlineStr">
        <is>
          <t>Bongkar APK, cari kunci Xendit/FCM/Resend</t>
        </is>
      </c>
      <c r="E483" s="16" t="inlineStr">
        <is>
          <t>Tidak ada satu pun kunci pengirim di dalamnya</t>
        </is>
      </c>
      <c r="F483" s="16" t="inlineStr">
        <is>
          <t>TSD §1.2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TC-TS-18</t>
        </is>
      </c>
      <c r="C484" s="19" t="inlineStr">
        <is>
          <t>P2</t>
        </is>
      </c>
      <c r="D484" s="13" t="inlineStr">
        <is>
          <t>Pesanan berpindah status lunas lebih dari sekali</t>
        </is>
      </c>
      <c r="E484" s="13" t="inlineStr">
        <is>
          <t>Jurnalnya tetap satu set — tidak ada baris ganda</t>
        </is>
      </c>
      <c r="F484" s="13" t="inlineStr">
        <is>
          <t>TSD §6.5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TC-TS-19</t>
        </is>
      </c>
      <c r="C485" s="20" t="inlineStr">
        <is>
          <t>P2</t>
        </is>
      </c>
      <c r="D485" s="16" t="inlineStr">
        <is>
          <t>Hapus resto uji</t>
        </is>
      </c>
      <c r="E485" s="16" t="inlineStr">
        <is>
          <t>Seluruh isinya ikut terhapus, termasuk jurnalnya</t>
        </is>
      </c>
      <c r="F485" s="16" t="inlineStr">
        <is>
          <t>TSD §4.0</t>
        </is>
      </c>
      <c r="G485" s="16" t="inlineStr"/>
      <c r="H485" s="16" t="inlineStr"/>
      <c r="I485" s="16" t="inlineStr"/>
    </row>
    <row r="486">
      <c r="A486" s="13" t="inlineStr">
        <is>
          <t>Regresi — bug yang pernah terjadi</t>
        </is>
      </c>
      <c r="B486" s="14" t="inlineStr">
        <is>
          <t>TC-RG-01</t>
        </is>
      </c>
      <c r="C486" s="15" t="inlineStr">
        <is>
          <t>P1</t>
        </is>
      </c>
      <c r="D486" s="13" t="inlineStr">
        <is>
          <t>Nominal QRIS kasir memakai subtotal menu, bukan total tagihan</t>
        </is>
      </c>
      <c r="E486" s="13" t="inlineStr">
        <is>
          <t>Nominal di layar QRIS = total termasuk service dan PPN</t>
        </is>
      </c>
      <c r="F486" s="13" t="inlineStr">
        <is>
          <t>F-KS-09</t>
        </is>
      </c>
      <c r="G486" s="13" t="inlineStr"/>
      <c r="H486" s="13" t="inlineStr"/>
      <c r="I486" s="13" t="inlineStr"/>
    </row>
    <row r="487">
      <c r="A487" s="16" t="inlineStr">
        <is>
          <t>Regresi — bug yang pernah terjadi</t>
        </is>
      </c>
      <c r="B487" s="17" t="inlineStr">
        <is>
          <t>TC-RG-02</t>
        </is>
      </c>
      <c r="C487" s="18" t="inlineStr">
        <is>
          <t>P1</t>
        </is>
      </c>
      <c r="D487" s="16" t="inlineStr">
        <is>
          <t>Pesanan dilunasi lewat QRIS hilang dari Riwayat Kasir</t>
        </is>
      </c>
      <c r="E487" s="16" t="inlineStr">
        <is>
          <t>Semua cara bayar masuk Riwayat Kasir</t>
        </is>
      </c>
      <c r="F487" s="16" t="inlineStr">
        <is>
          <t>F-PP-09, A-13</t>
        </is>
      </c>
      <c r="G487" s="16" t="inlineStr"/>
      <c r="H487" s="16" t="inlineStr"/>
      <c r="I487" s="16" t="inlineStr"/>
    </row>
    <row r="488">
      <c r="A488" s="13" t="inlineStr">
        <is>
          <t>Regresi — bug yang pernah terjadi</t>
        </is>
      </c>
      <c r="B488" s="14" t="inlineStr">
        <is>
          <t>TC-RG-03</t>
        </is>
      </c>
      <c r="C488" s="15" t="inlineStr">
        <is>
          <t>P1</t>
        </is>
      </c>
      <c r="D488" s="13" t="inlineStr">
        <is>
          <t>Pesanan dibatalkan tampil "Menunggu Pembayaran" di Pesanan Masuk</t>
        </is>
      </c>
      <c r="E488" s="13" t="inlineStr">
        <is>
          <t>Tidak muncul sama sekali</t>
        </is>
      </c>
      <c r="F488" s="13" t="inlineStr">
        <is>
          <t>A-17</t>
        </is>
      </c>
      <c r="G488" s="13" t="inlineStr"/>
      <c r="H488" s="13" t="inlineStr"/>
      <c r="I488" s="13" t="inlineStr"/>
    </row>
    <row r="489">
      <c r="A489" s="16" t="inlineStr">
        <is>
          <t>Regresi — bug yang pernah terjadi</t>
        </is>
      </c>
      <c r="B489" s="17" t="inlineStr">
        <is>
          <t>TC-RG-04</t>
        </is>
      </c>
      <c r="C489" s="18" t="inlineStr">
        <is>
          <t>P1</t>
        </is>
      </c>
      <c r="D489" s="16" t="inlineStr">
        <is>
          <t>Top up Rp 100.000 tercatat Rp 200.000 di jurnal</t>
        </is>
      </c>
      <c r="E489" s="16" t="inlineStr">
        <is>
          <t>Nominalnya sama dengan yang diajukan</t>
        </is>
      </c>
      <c r="F489" s="16" t="inlineStr">
        <is>
          <t>F-FN-03</t>
        </is>
      </c>
      <c r="G489" s="16" t="inlineStr"/>
      <c r="H489" s="16" t="inlineStr"/>
      <c r="I489" s="16" t="inlineStr"/>
    </row>
    <row r="490">
      <c r="A490" s="13" t="inlineStr">
        <is>
          <t>Regresi — bug yang pernah terjadi</t>
        </is>
      </c>
      <c r="B490" s="14" t="inlineStr">
        <is>
          <t>TC-RG-05</t>
        </is>
      </c>
      <c r="C490" s="15" t="inlineStr">
        <is>
          <t>P1</t>
        </is>
      </c>
      <c r="D490" s="13" t="inlineStr">
        <is>
          <t>Diskon tidak berlaku untuk pesanan mandiri pelanggan</t>
        </is>
      </c>
      <c r="E490" s="13" t="inlineStr">
        <is>
          <t>Berlaku sama di kasir dan HP pelanggan</t>
        </is>
      </c>
      <c r="F490" s="13" t="inlineStr">
        <is>
          <t>A-14</t>
        </is>
      </c>
      <c r="G490" s="13" t="inlineStr"/>
      <c r="H490" s="13" t="inlineStr"/>
      <c r="I490" s="13" t="inlineStr"/>
    </row>
    <row r="491">
      <c r="A491" s="16" t="inlineStr">
        <is>
          <t>Regresi — bug yang pernah terjadi</t>
        </is>
      </c>
      <c r="B491" s="17" t="inlineStr">
        <is>
          <t>TC-RG-06</t>
        </is>
      </c>
      <c r="C491" s="18" t="inlineStr">
        <is>
          <t>P1</t>
        </is>
      </c>
      <c r="D491" s="16" t="inlineStr">
        <is>
          <t>Promo "beli 2" lolos oleh keranjang berisi dua menu berbeda</t>
        </is>
      </c>
      <c r="E491" s="16" t="inlineStr">
        <is>
          <t>Syarat jumlah dihitung per menu, dan seluruhnya harus terpenuhi</t>
        </is>
      </c>
      <c r="F491" s="16" t="inlineStr">
        <is>
          <t>F-DS-10, F-DS-12</t>
        </is>
      </c>
      <c r="G491" s="16" t="inlineStr"/>
      <c r="H491" s="16" t="inlineStr"/>
      <c r="I491" s="16" t="inlineStr"/>
    </row>
    <row r="492">
      <c r="A492" s="13" t="inlineStr">
        <is>
          <t>Regresi — bug yang pernah terjadi</t>
        </is>
      </c>
      <c r="B492" s="14" t="inlineStr">
        <is>
          <t>TC-RG-07</t>
        </is>
      </c>
      <c r="C492" s="19" t="inlineStr">
        <is>
          <t>P2</t>
        </is>
      </c>
      <c r="D492" s="13" t="inlineStr">
        <is>
          <t>Tombol pilih/hapus di kotak masuk tidak bereaksi sama sekali</t>
        </is>
      </c>
      <c r="E492" s="13" t="inlineStr">
        <is>
          <t>Bekerja di kotak masuk karyawan dan pelanggan</t>
        </is>
      </c>
      <c r="F492" s="13" t="inlineStr">
        <is>
          <t>F-IN-15</t>
        </is>
      </c>
      <c r="G492" s="13" t="inlineStr"/>
      <c r="H492" s="13" t="inlineStr"/>
      <c r="I492" s="13" t="inlineStr"/>
    </row>
    <row r="493">
      <c r="A493" s="16" t="inlineStr">
        <is>
          <t>Regresi — bug yang pernah terjadi</t>
        </is>
      </c>
      <c r="B493" s="17" t="inlineStr">
        <is>
          <t>TC-RG-08</t>
        </is>
      </c>
      <c r="C493" s="20" t="inlineStr">
        <is>
          <t>P2</t>
        </is>
      </c>
      <c r="D493" s="16" t="inlineStr">
        <is>
          <t>Layar Diskon dari hub Kasir menyebut "Belum ada produk di resto ini"</t>
        </is>
      </c>
      <c r="E493" s="16" t="inlineStr">
        <is>
          <t>Daftar menu termuat</t>
        </is>
      </c>
      <c r="F493" s="16" t="inlineStr">
        <is>
          <t>F-DS-01</t>
        </is>
      </c>
      <c r="G493" s="16" t="inlineStr"/>
      <c r="H493" s="16" t="inlineStr"/>
      <c r="I493" s="16" t="inlineStr"/>
    </row>
    <row r="494">
      <c r="A494" s="13" t="inlineStr">
        <is>
          <t>Regresi — bug yang pernah terjadi</t>
        </is>
      </c>
      <c r="B494" s="14" t="inlineStr">
        <is>
          <t>TC-RG-09</t>
        </is>
      </c>
      <c r="C494" s="19" t="inlineStr">
        <is>
          <t>P2</t>
        </is>
      </c>
      <c r="D494" s="13" t="inlineStr">
        <is>
          <t>Kasir tidak bisa membuka detail jurnal — terlihat seperti GL belum dipetakan</t>
        </is>
      </c>
      <c r="E494" s="13" t="inlineStr">
        <is>
          <t>Detail jurnal terbuka</t>
        </is>
      </c>
      <c r="F494" s="13" t="inlineStr">
        <is>
          <t>F-KS-13</t>
        </is>
      </c>
      <c r="G494" s="13" t="inlineStr"/>
      <c r="H494" s="13" t="inlineStr"/>
      <c r="I494" s="13" t="inlineStr"/>
    </row>
    <row r="495">
      <c r="A495" s="16" t="inlineStr">
        <is>
          <t>Regresi — bug yang pernah terjadi</t>
        </is>
      </c>
      <c r="B495" s="17" t="inlineStr">
        <is>
          <t>TC-RG-10</t>
        </is>
      </c>
      <c r="C495" s="20" t="inlineStr">
        <is>
          <t>P2</t>
        </is>
      </c>
      <c r="D495" s="16" t="inlineStr">
        <is>
          <t>Layar dapur meninggalkan jejak warna lama saat tema diganti</t>
        </is>
      </c>
      <c r="E495" s="16" t="inlineStr">
        <is>
          <t>Seluruh layar berganti bersih</t>
        </is>
      </c>
      <c r="F495" s="16" t="inlineStr">
        <is>
          <t>A-18</t>
        </is>
      </c>
      <c r="G495" s="16" t="inlineStr"/>
      <c r="H495" s="16" t="inlineStr"/>
      <c r="I495" s="16" t="inlineStr"/>
    </row>
    <row r="496">
      <c r="A496" s="13" t="inlineStr">
        <is>
          <t>Regresi — bug yang pernah terjadi</t>
        </is>
      </c>
      <c r="B496" s="14" t="inlineStr">
        <is>
          <t>TC-RG-11</t>
        </is>
      </c>
      <c r="C496" s="19" t="inlineStr">
        <is>
          <t>P2</t>
        </is>
      </c>
      <c r="D496" s="13" t="inlineStr">
        <is>
          <t>Banner promo menempel di atas, tidak ikut tergulir</t>
        </is>
      </c>
      <c r="E496" s="13" t="inlineStr">
        <is>
          <t>Ikut tergulir bersama menunya</t>
        </is>
      </c>
      <c r="F496" s="13" t="inlineStr">
        <is>
          <t>F-CU-16, A-12</t>
        </is>
      </c>
      <c r="G496" s="13" t="inlineStr"/>
      <c r="H496" s="13" t="inlineStr"/>
      <c r="I496" s="13" t="inlineStr"/>
    </row>
    <row r="497">
      <c r="A497" s="16" t="inlineStr">
        <is>
          <t>Regresi — bug yang pernah terjadi</t>
        </is>
      </c>
      <c r="B497" s="17" t="inlineStr">
        <is>
          <t>TC-RG-12</t>
        </is>
      </c>
      <c r="C497" s="20" t="inlineStr">
        <is>
          <t>P2</t>
        </is>
      </c>
      <c r="D497" s="16" t="inlineStr">
        <is>
          <t>Owner hanya bisa melihat Info Pembayaran</t>
        </is>
      </c>
      <c r="E497" s="16" t="inlineStr">
        <is>
          <t>Owner bisa mengubahnya</t>
        </is>
      </c>
      <c r="F497" s="16" t="inlineStr">
        <is>
          <t>F-SD-02</t>
        </is>
      </c>
      <c r="G497" s="16" t="inlineStr"/>
      <c r="H497" s="16" t="inlineStr"/>
      <c r="I497" s="16" t="inlineStr"/>
    </row>
    <row r="498">
      <c r="A498" s="13" t="inlineStr">
        <is>
          <t>Regresi — bug yang pernah terjadi</t>
        </is>
      </c>
      <c r="B498" s="14" t="inlineStr">
        <is>
          <t>TC-RG-13</t>
        </is>
      </c>
      <c r="C498" s="15" t="inlineStr">
        <is>
          <t>P1</t>
        </is>
      </c>
      <c r="D498" s="13" t="inlineStr">
        <is>
          <t>Migrasi gagal: daftar nilai batasan menyempit saat berkas lama dijalankan ulang</t>
        </is>
      </c>
      <c r="E498" s="13" t="inlineStr">
        <is>
          <t>Menjalankan ulang berkas mana pun tidak pernah menolak data yang sudah ada</t>
        </is>
      </c>
      <c r="F498" s="13" t="inlineStr">
        <is>
          <t>TSD §11.1</t>
        </is>
      </c>
      <c r="G498" s="13" t="inlineStr"/>
      <c r="H498" s="13" t="inlineStr"/>
      <c r="I498" s="13" t="inlineStr"/>
    </row>
    <row r="499">
      <c r="A499" s="16" t="inlineStr">
        <is>
          <t>Regresi — bug yang pernah terjadi</t>
        </is>
      </c>
      <c r="B499" s="17" t="inlineStr">
        <is>
          <t>TC-RG-14</t>
        </is>
      </c>
      <c r="C499" s="20" t="inlineStr">
        <is>
          <t>P2</t>
        </is>
      </c>
      <c r="D499" s="16" t="inlineStr">
        <is>
          <t>QR meja borongan bernomor 07, berbeda dengan mode satu meja</t>
        </is>
      </c>
      <c r="E499" s="16" t="inlineStr">
        <is>
          <t>Keduanya menulis 7</t>
        </is>
      </c>
      <c r="F499" s="16" t="inlineStr">
        <is>
          <t>F-QR-07</t>
        </is>
      </c>
      <c r="G499" s="16" t="inlineStr"/>
      <c r="H499" s="16" t="inlineStr"/>
      <c r="I499" s="16" t="inlineStr"/>
    </row>
    <row r="500">
      <c r="A500" s="13" t="inlineStr">
        <is>
          <t>Uji Ujung-ke-Ujung</t>
        </is>
      </c>
      <c r="B500" s="14" t="inlineStr">
        <is>
          <t>E2E-09</t>
        </is>
      </c>
      <c r="C500" s="15" t="inlineStr">
        <is>
          <t>P1</t>
        </is>
      </c>
      <c r="D500" s="13" t="inlineStr">
        <is>
          <t>Satu siklus langganan penuh</t>
        </is>
      </c>
      <c r="E500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00" s="13" t="inlineStr">
        <is>
          <t>F-BL-07 … F-BL-18, TSD §7.3</t>
        </is>
      </c>
      <c r="G500" s="13" t="inlineStr"/>
      <c r="H500" s="13" t="inlineStr"/>
      <c r="I500" s="13" t="inlineStr"/>
    </row>
    <row r="501">
      <c r="A501" s="16" t="inlineStr">
        <is>
          <t>Uji Ujung-ke-Ujung</t>
        </is>
      </c>
      <c r="B501" s="17" t="inlineStr">
        <is>
          <t>E2E-01</t>
        </is>
      </c>
      <c r="C501" s="18" t="inlineStr">
        <is>
          <t>P1</t>
        </is>
      </c>
      <c r="D501" s="16" t="inlineStr">
        <is>
          <t>Pelanggan bayar QRIS</t>
        </is>
      </c>
      <c r="E501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01" s="16" t="inlineStr">
        <is>
          <t>F-CU-09, F-PG-02, F-CH-06, TSD §6, TSD §7.1</t>
        </is>
      </c>
      <c r="G501" s="16" t="inlineStr"/>
      <c r="H501" s="16" t="inlineStr"/>
      <c r="I501" s="16" t="inlineStr"/>
    </row>
    <row r="502">
      <c r="A502" s="13" t="inlineStr">
        <is>
          <t>Uji Ujung-ke-Ujung</t>
        </is>
      </c>
      <c r="B502" s="14" t="inlineStr">
        <is>
          <t>E2E-02</t>
        </is>
      </c>
      <c r="C502" s="15" t="inlineStr">
        <is>
          <t>P1</t>
        </is>
      </c>
      <c r="D502" s="13" t="inlineStr">
        <is>
          <t>Pelanggan bayar tunai di kasir</t>
        </is>
      </c>
      <c r="E502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02" s="13" t="inlineStr">
        <is>
          <t>F-CU-09, F-PP-01, F-PP-06, F-PP-07, F-CH-06, A-02, A-13</t>
        </is>
      </c>
      <c r="G502" s="13" t="inlineStr"/>
      <c r="H502" s="13" t="inlineStr"/>
      <c r="I502" s="13" t="inlineStr"/>
    </row>
    <row r="503">
      <c r="A503" s="16" t="inlineStr">
        <is>
          <t>Uji Ujung-ke-Ujung</t>
        </is>
      </c>
      <c r="B503" s="17" t="inlineStr">
        <is>
          <t>E2E-03</t>
        </is>
      </c>
      <c r="C503" s="18" t="inlineStr">
        <is>
          <t>P1</t>
        </is>
      </c>
      <c r="D503" s="16" t="inlineStr">
        <is>
          <t>Tunai dengan cara bayar diganti</t>
        </is>
      </c>
      <c r="E503" s="16" t="inlineStr">
        <is>
          <t>1. Ulangi E2E-02, tapi pada langkah 4 ganti cara bayarnya ke QRIS.
2. Pesanannya harus tetap masuk Riwayat Kasir, dan masuk Non Cash
3. di Saldo.</t>
        </is>
      </c>
      <c r="F503" s="16" t="inlineStr">
        <is>
          <t>F-PP-09, A-13, TSD §4.2</t>
        </is>
      </c>
      <c r="G503" s="16" t="inlineStr"/>
      <c r="H503" s="16" t="inlineStr"/>
      <c r="I503" s="16" t="inlineStr"/>
    </row>
    <row r="504">
      <c r="A504" s="13" t="inlineStr">
        <is>
          <t>Uji Ujung-ke-Ujung</t>
        </is>
      </c>
      <c r="B504" s="14" t="inlineStr">
        <is>
          <t>E2E-04</t>
        </is>
      </c>
      <c r="C504" s="15" t="inlineStr">
        <is>
          <t>P1</t>
        </is>
      </c>
      <c r="D504" s="13" t="inlineStr">
        <is>
          <t>Setor tunai ke rekening</t>
        </is>
      </c>
      <c r="E504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04" s="13" t="inlineStr">
        <is>
          <t>F-SD-01, F-SD-05, A-05, TSD §6.4</t>
        </is>
      </c>
      <c r="G504" s="13" t="inlineStr"/>
      <c r="H504" s="13" t="inlineStr"/>
      <c r="I504" s="13" t="inlineStr"/>
    </row>
    <row r="505">
      <c r="A505" s="16" t="inlineStr">
        <is>
          <t>Uji Ujung-ke-Ujung</t>
        </is>
      </c>
      <c r="B505" s="17" t="inlineStr">
        <is>
          <t>E2E-05</t>
        </is>
      </c>
      <c r="C505" s="18" t="inlineStr">
        <is>
          <t>P1</t>
        </is>
      </c>
      <c r="D505" s="16" t="inlineStr">
        <is>
          <t>Top up petty cash</t>
        </is>
      </c>
      <c r="E505" s="16" t="inlineStr">
        <is>
          <t>1. Sama polanya dengan E2E-04, lewat GL Suspense Petty Cash. Top up
2. Rp 100.000 harus menambah Petty Cash Rp 100.000 — bukan Rp 200.000.</t>
        </is>
      </c>
      <c r="F505" s="16" t="inlineStr">
        <is>
          <t>F-FN-03, TSD §6.4</t>
        </is>
      </c>
      <c r="G505" s="16" t="inlineStr"/>
      <c r="H505" s="16" t="inlineStr"/>
      <c r="I505" s="16" t="inlineStr"/>
    </row>
    <row r="506">
      <c r="A506" s="13" t="inlineStr">
        <is>
          <t>Uji Ujung-ke-Ujung</t>
        </is>
      </c>
      <c r="B506" s="14" t="inlineStr">
        <is>
          <t>E2E-06</t>
        </is>
      </c>
      <c r="C506" s="15" t="inlineStr">
        <is>
          <t>P1</t>
        </is>
      </c>
      <c r="D506" s="13" t="inlineStr">
        <is>
          <t>Promo bundling dari HP pelanggan</t>
        </is>
      </c>
      <c r="E506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06" s="13" t="inlineStr">
        <is>
          <t>F-DS-10, F-DS-12, F-CU-17, F-DS-08, F-DS-09, A-14</t>
        </is>
      </c>
      <c r="G506" s="13" t="inlineStr"/>
      <c r="H506" s="13" t="inlineStr"/>
      <c r="I506" s="13" t="inlineStr"/>
    </row>
    <row r="507">
      <c r="A507" s="16" t="inlineStr">
        <is>
          <t>Uji Ujung-ke-Ujung</t>
        </is>
      </c>
      <c r="B507" s="17" t="inlineStr">
        <is>
          <t>E2E-07</t>
        </is>
      </c>
      <c r="C507" s="18" t="inlineStr">
        <is>
          <t>P1</t>
        </is>
      </c>
      <c r="D507" s="16" t="inlineStr">
        <is>
          <t>Pembatalan oleh pelanggan</t>
        </is>
      </c>
      <c r="E507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07" s="16" t="inlineStr">
        <is>
          <t>F-CN-01, A-17</t>
        </is>
      </c>
      <c r="G507" s="16" t="inlineStr"/>
      <c r="H507" s="16" t="inlineStr"/>
      <c r="I507" s="16" t="inlineStr"/>
    </row>
    <row r="508">
      <c r="A508" s="13" t="inlineStr">
        <is>
          <t>Uji Ujung-ke-Ujung</t>
        </is>
      </c>
      <c r="B508" s="14" t="inlineStr">
        <is>
          <t>E2E-08</t>
        </is>
      </c>
      <c r="C508" s="15" t="inlineStr">
        <is>
          <t>P1</t>
        </is>
      </c>
      <c r="D508" s="13" t="inlineStr">
        <is>
          <t>Isolasi antar cabang</t>
        </is>
      </c>
      <c r="E508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08" s="13" t="inlineStr">
        <is>
          <t>F-AD-08, F-IN-10, A-10</t>
        </is>
      </c>
      <c r="G508" s="13" t="inlineStr"/>
      <c r="H508" s="13" t="inlineStr"/>
      <c r="I508" s="13" t="inlineStr"/>
    </row>
  </sheetData>
  <autoFilter ref="A1:I508"/>
  <dataValidations count="1">
    <dataValidation sqref="G2:G508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2026-08-19T05:03:06Z</dcterms:created>
  <dcterms:modified xmlns:dcterms="http://purl.org/dc/terms/" xmlns:xsi="http://www.w3.org/2001/XMLSchema-instance" xsi:type="dcterms:W3CDTF">2026-08-19T05:03:08Z</dcterms:modified>
</cp:coreProperties>
</file>